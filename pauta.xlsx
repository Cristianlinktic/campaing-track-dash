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Resumen Ejecutivo" sheetId="1" r:id="rId4"/>
    <sheet state="visible" name="📣 Distribución x Canal" sheetId="2" r:id="rId5"/>
    <sheet state="visible" name="📅 Desglose Diario" sheetId="3" r:id="rId6"/>
    <sheet state="visible" name="📈 Proyecciones" sheetId="4" r:id="rId7"/>
  </sheets>
  <definedNames/>
  <calcPr/>
  <extLst>
    <ext uri="GoogleSheetsCustomDataVersion2">
      <go:sheetsCustomData xmlns:go="http://customooxmlschemas.google.com/" r:id="rId8" roundtripDataChecksum="6XJS+FzsSw6TCWxp288iYMEvBMu7h4+F0C/9Q0jFKY4="/>
    </ext>
  </extLst>
</workbook>
</file>

<file path=xl/sharedStrings.xml><?xml version="1.0" encoding="utf-8"?>
<sst xmlns="http://schemas.openxmlformats.org/spreadsheetml/2006/main" count="128" uniqueCount="104">
  <si>
    <t>PLAN DE PAUTA DIGITAL — RESUMEN EJECUTIVO</t>
  </si>
  <si>
    <t>Campaña de 15 días  |  Todos los canales: Instagram · Facebook · Google Youtube · Google Display</t>
  </si>
  <si>
    <t>⚙  PARÁMETROS DE CAMPAÑA  (edite los valores en amarillo)</t>
  </si>
  <si>
    <t>Presupuesto total campaña (COP)</t>
  </si>
  <si>
    <t>Duración (días)</t>
  </si>
  <si>
    <t>% Meta</t>
  </si>
  <si>
    <t>% Pilas</t>
  </si>
  <si>
    <t>% Youtube</t>
  </si>
  <si>
    <t>% Google Display</t>
  </si>
  <si>
    <t>CPM estimado Meta (COP)</t>
  </si>
  <si>
    <t>CPM estimado Pilas (COP)</t>
  </si>
  <si>
    <t>CPM estimado Youtube (COP)</t>
  </si>
  <si>
    <t>CPM estimado Google Display (COP)</t>
  </si>
  <si>
    <t>CTR estimado Meta (%)</t>
  </si>
  <si>
    <t>CTR estimado Pilas (%)</t>
  </si>
  <si>
    <t>CTR estimado Youtube (%)</t>
  </si>
  <si>
    <t>CTR estimado Google Display (%)</t>
  </si>
  <si>
    <t>📈  KPIs PROYECTADOS TOTALES</t>
  </si>
  <si>
    <t>Inversión Total (COP)</t>
  </si>
  <si>
    <t>Impresiones
Totales</t>
  </si>
  <si>
    <t>Clicks
Totales</t>
  </si>
  <si>
    <t>CTR Promedio
Ponderado</t>
  </si>
  <si>
    <t>Costo por
Click (COP)</t>
  </si>
  <si>
    <t>Duración
(días)</t>
  </si>
  <si>
    <t>🎯  SEGUIMIENTO REAL vs META  (actualice columna 'Real' durante la campaña)</t>
  </si>
  <si>
    <t>Canal</t>
  </si>
  <si>
    <t>Inversión Meta
(COP)</t>
  </si>
  <si>
    <t>Inversión Real
(COP)</t>
  </si>
  <si>
    <t>Diferencia
(COP)</t>
  </si>
  <si>
    <t>% Ejecución</t>
  </si>
  <si>
    <t>Impresiones Meta</t>
  </si>
  <si>
    <t>Clicks Meta</t>
  </si>
  <si>
    <t>Meta</t>
  </si>
  <si>
    <t>Pilas</t>
  </si>
  <si>
    <t>Youtube</t>
  </si>
  <si>
    <t>Google Display</t>
  </si>
  <si>
    <t>TOTAL CAMPAÑA</t>
  </si>
  <si>
    <t>* Celdas en amarillo son editables. Actualice 'Inversión Real' diariamente para monitorear la ejecución presupuestal.</t>
  </si>
  <si>
    <t>DISTRIBUCIÓN PRESUPUESTARIA POR CANAL — 15 DÍAS</t>
  </si>
  <si>
    <t>Los porcentajes en amarillo son editables. Las fórmulas se actualizan automáticamente.</t>
  </si>
  <si>
    <t>% Participación</t>
  </si>
  <si>
    <t>Presupuesto
Total (COP)</t>
  </si>
  <si>
    <t>Presupuesto
Diario (COP)</t>
  </si>
  <si>
    <t>CPM
(COP)</t>
  </si>
  <si>
    <t>CTR
Estimado</t>
  </si>
  <si>
    <t>CPC
Estimado (COP)</t>
  </si>
  <si>
    <t>Alcance
Estimado</t>
  </si>
  <si>
    <t>TOTAL</t>
  </si>
  <si>
    <t>📌  OBJETIVOS Y TIPO DE CAMPAÑA POR CANAL</t>
  </si>
  <si>
    <t>Objetivo Principal</t>
  </si>
  <si>
    <t>Formato Recomendado</t>
  </si>
  <si>
    <t>Público Objetivo</t>
  </si>
  <si>
    <t>KPI Principal</t>
  </si>
  <si>
    <t>Reconocimiento de marca
y engagement</t>
  </si>
  <si>
    <t>Segmentación por intereses
Demografía 18–45 años</t>
  </si>
  <si>
    <t>Alcance + Engagement Rate</t>
  </si>
  <si>
    <t>Tráfico al sitio web
y generación de leads</t>
  </si>
  <si>
    <t>Lookalike audiences
Remarketing</t>
  </si>
  <si>
    <t>CPC + CTR + Leads</t>
  </si>
  <si>
    <t>Captura de demanda
activa / intención de búsqueda</t>
  </si>
  <si>
    <t>Keywords relacionadas a
nombre y propuesta</t>
  </si>
  <si>
    <t>CTR + CPC + Conversiones</t>
  </si>
  <si>
    <t>Cobertura y
retargeting visual</t>
  </si>
  <si>
    <t>Retargeting web +
audiencias en mercado</t>
  </si>
  <si>
    <t>CPM + Frecuencia +
Viewability</t>
  </si>
  <si>
    <t>* Alcance estimado usa factor de frecuencia 1.4x (cada usuario ve el anuncio ~1.4 veces en promedio)</t>
  </si>
  <si>
    <t>DESGLOSE DIARIO DE INVERSIÓN — 15 DÍAS</t>
  </si>
  <si>
    <t>Inversión diaria distribuida por canal. Ajuste los pesos en la columna 'Factor' para modificar la distribución por día.</t>
  </si>
  <si>
    <t>Día</t>
  </si>
  <si>
    <t>Fecha
(inicio: edite)</t>
  </si>
  <si>
    <t>Factor
Peso (editable)</t>
  </si>
  <si>
    <t>Inversión
Total/Día (COP)</t>
  </si>
  <si>
    <t>Meta
(COP)</t>
  </si>
  <si>
    <t>Pilas(COP)</t>
  </si>
  <si>
    <t>Youtube
(COP)</t>
  </si>
  <si>
    <t>Google Display
(COP)</t>
  </si>
  <si>
    <t>Imp. MT</t>
  </si>
  <si>
    <t>Imp. PL</t>
  </si>
  <si>
    <t>Imp. YT</t>
  </si>
  <si>
    <t>Imp. GD</t>
  </si>
  <si>
    <t>15 días</t>
  </si>
  <si>
    <t>* Edite 'Factor Peso' de cada día para redistribuir la inversión. El total siempre suma el presupuesto total sin importar los factores.</t>
  </si>
  <si>
    <t>* Fecha inicio: edite la celda C6 para ajustar el calendario completo.</t>
  </si>
  <si>
    <t>8xde</t>
  </si>
  <si>
    <t>PROYECCIONES DE IMPRESIONES Y CLICKS — 15 DÍAS</t>
  </si>
  <si>
    <t>Proyecciones basadas en parámetros del Resumen Ejecutivo. Todos los valores se actualizan al cambiar CPM o CTR.</t>
  </si>
  <si>
    <t>PROYECCIÓN CONSOLIDADA POR CANAL</t>
  </si>
  <si>
    <t>Inversión
Total (COP)</t>
  </si>
  <si>
    <t>CTR</t>
  </si>
  <si>
    <t>CPC
(COP)</t>
  </si>
  <si>
    <t>Frecuencia
Estimada</t>
  </si>
  <si>
    <t>Alcance
Único Est.</t>
  </si>
  <si>
    <t>—</t>
  </si>
  <si>
    <t>PROYECCIÓN DIARIA — IMPRESIONES Y CLICKS TOTALES (todos los canales)</t>
  </si>
  <si>
    <t>Fecha</t>
  </si>
  <si>
    <t>Inversión/Día
(COP)</t>
  </si>
  <si>
    <t>Imp. Meta</t>
  </si>
  <si>
    <t>Imp. Pilas</t>
  </si>
  <si>
    <t>Imp. Youtube</t>
  </si>
  <si>
    <t>Imp. Display</t>
  </si>
  <si>
    <t>Total Impresiones</t>
  </si>
  <si>
    <t>Total Clicks</t>
  </si>
  <si>
    <t>18 días</t>
  </si>
  <si>
    <t>* Celdas en amarillo (CPM, CTR, Frecuencia) son editables desde la hoja 'Resumen Ejecutivo' o directamente aquí.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</si>
</sst>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dd/mm/yyyy"/>
    <numFmt numFmtId="166" formatCode="0.0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5.0"/>
      <color rgb="FFFFFFFF"/>
      <name val="Calibri"/>
    </font>
    <font/>
    <font>
      <i/>
      <sz val="10.0"/>
      <color rgb="FFFFFFFF"/>
      <name val="Calibri"/>
    </font>
    <font>
      <b/>
      <sz val="11.0"/>
      <color rgb="FF28251D"/>
      <name val="Calibri"/>
    </font>
    <font>
      <sz val="10.0"/>
      <color rgb="FF28251D"/>
      <name val="Calibri"/>
    </font>
    <font>
      <b/>
      <sz val="10.0"/>
      <color rgb="FF28251D"/>
      <name val="Calibri"/>
    </font>
    <font>
      <b/>
      <sz val="9.0"/>
      <color rgb="FFFFFFFF"/>
      <name val="Calibri"/>
    </font>
    <font>
      <b/>
      <sz val="12.0"/>
      <color rgb="FFFFFFFF"/>
      <name val="Calibri"/>
    </font>
    <font>
      <b/>
      <sz val="10.0"/>
      <color rgb="FFA84B2F"/>
      <name val="Calibri"/>
    </font>
    <font>
      <b/>
      <sz val="10.0"/>
      <color rgb="FF006494"/>
      <name val="Calibri"/>
    </font>
    <font>
      <b/>
      <sz val="10.0"/>
      <color rgb="FF944454"/>
      <name val="Calibri"/>
    </font>
    <font>
      <b/>
      <sz val="10.0"/>
      <color rgb="FF437A22"/>
      <name val="Calibri"/>
    </font>
    <font>
      <i/>
      <sz val="9.0"/>
      <color rgb="FF7A7974"/>
      <name val="Calibri"/>
    </font>
    <font>
      <b/>
      <sz val="14.0"/>
      <color rgb="FFFFFFFF"/>
      <name val="Calibri"/>
    </font>
    <font>
      <i/>
      <sz val="9.0"/>
      <color rgb="FFFFFFFF"/>
      <name val="Calibri"/>
    </font>
    <font>
      <b/>
      <sz val="11.0"/>
      <color rgb="FFA84B2F"/>
      <name val="Calibri"/>
    </font>
    <font>
      <i/>
      <sz val="10.0"/>
      <color rgb="FF28251D"/>
      <name val="Calibri"/>
    </font>
    <font>
      <b/>
      <sz val="11.0"/>
      <color rgb="FF006494"/>
      <name val="Calibri"/>
    </font>
    <font>
      <b/>
      <sz val="11.0"/>
      <color rgb="FF944454"/>
      <name val="Calibri"/>
    </font>
    <font>
      <b/>
      <sz val="11.0"/>
      <color rgb="FF437A22"/>
      <name val="Calibri"/>
    </font>
    <font>
      <sz val="9.0"/>
      <color rgb="FF28251D"/>
      <name val="Calibri"/>
    </font>
    <font>
      <sz val="10.0"/>
      <color rgb="FF7A7974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1B474D"/>
        <bgColor rgb="FF1B474D"/>
      </patternFill>
    </fill>
    <fill>
      <patternFill patternType="solid">
        <fgColor rgb="FF20808D"/>
        <bgColor rgb="FF20808D"/>
      </patternFill>
    </fill>
    <fill>
      <patternFill patternType="solid">
        <fgColor rgb="FFBCE2E7"/>
        <bgColor rgb="FFBCE2E7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A7101"/>
        <bgColor rgb="FFDA7101"/>
      </patternFill>
    </fill>
    <fill>
      <patternFill patternType="solid">
        <fgColor rgb="FF437A22"/>
        <bgColor rgb="FF437A22"/>
      </patternFill>
    </fill>
    <fill>
      <patternFill patternType="solid">
        <fgColor rgb="FF944454"/>
        <bgColor rgb="FF944454"/>
      </patternFill>
    </fill>
    <fill>
      <patternFill patternType="solid">
        <fgColor rgb="FFF2FAFB"/>
        <bgColor rgb="FFF2FAFB"/>
      </patternFill>
    </fill>
    <fill>
      <patternFill patternType="solid">
        <fgColor rgb="FFFFFFFF"/>
        <bgColor rgb="FFFFFFFF"/>
      </patternFill>
    </fill>
    <fill>
      <patternFill patternType="solid">
        <fgColor rgb="FFFFC553"/>
        <bgColor rgb="FFFFC553"/>
      </patternFill>
    </fill>
  </fills>
  <borders count="7">
    <border/>
    <border>
      <left/>
      <top/>
      <bottom/>
    </border>
    <border>
      <top/>
      <bottom/>
    </border>
    <border>
      <left style="thin">
        <color rgb="FFD4D1CA"/>
      </left>
      <top style="thin">
        <color rgb="FFD4D1CA"/>
      </top>
      <bottom style="thin">
        <color rgb="FFD4D1CA"/>
      </bottom>
    </border>
    <border>
      <top style="thin">
        <color rgb="FFD4D1CA"/>
      </top>
      <bottom style="thin">
        <color rgb="FFD4D1CA"/>
      </bottom>
    </border>
    <border>
      <right style="thin">
        <color rgb="FFD4D1CA"/>
      </right>
      <top style="thin">
        <color rgb="FFD4D1CA"/>
      </top>
      <bottom style="thin">
        <color rgb="FFD4D1CA"/>
      </bottom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1" fillId="3" fontId="4" numFmtId="0" xfId="0" applyAlignment="1" applyBorder="1" applyFill="1" applyFont="1">
      <alignment horizontal="center" readingOrder="0" shrinkToFit="0" vertical="center" wrapText="0"/>
    </xf>
    <xf borderId="1" fillId="4" fontId="5" numFmtId="0" xfId="0" applyAlignment="1" applyBorder="1" applyFill="1" applyFont="1">
      <alignment horizontal="center" shrinkToFit="0" vertical="center" wrapText="1"/>
    </xf>
    <xf borderId="3" fillId="5" fontId="6" numFmtId="0" xfId="0" applyAlignment="1" applyBorder="1" applyFill="1" applyFont="1">
      <alignment horizontal="left" shrinkToFit="0" vertical="center" wrapText="0"/>
    </xf>
    <xf borderId="4" fillId="0" fontId="3" numFmtId="0" xfId="0" applyBorder="1" applyFont="1"/>
    <xf borderId="5" fillId="0" fontId="3" numFmtId="0" xfId="0" applyBorder="1" applyFont="1"/>
    <xf borderId="3" fillId="6" fontId="7" numFmtId="3" xfId="0" applyAlignment="1" applyBorder="1" applyFill="1" applyFont="1" applyNumberFormat="1">
      <alignment horizontal="right" readingOrder="0" shrinkToFit="0" vertical="center" wrapText="0"/>
    </xf>
    <xf borderId="3" fillId="7" fontId="6" numFmtId="0" xfId="0" applyAlignment="1" applyBorder="1" applyFill="1" applyFont="1">
      <alignment horizontal="left" readingOrder="0" shrinkToFit="0" vertical="center" wrapText="0"/>
    </xf>
    <xf borderId="3" fillId="6" fontId="7" numFmtId="164" xfId="0" applyAlignment="1" applyBorder="1" applyFont="1" applyNumberFormat="1">
      <alignment horizontal="right" readingOrder="0" shrinkToFit="0" vertical="center" wrapText="0"/>
    </xf>
    <xf borderId="0" fillId="0" fontId="1" numFmtId="0" xfId="0" applyAlignment="1" applyFont="1">
      <alignment readingOrder="0" shrinkToFit="0" vertical="bottom" wrapText="0"/>
    </xf>
    <xf borderId="3" fillId="8" fontId="6" numFmtId="0" xfId="0" applyAlignment="1" applyBorder="1" applyFill="1" applyFont="1">
      <alignment horizontal="left" readingOrder="0" shrinkToFit="0" vertical="center" wrapText="0"/>
    </xf>
    <xf borderId="3" fillId="8" fontId="6" numFmtId="0" xfId="0" applyAlignment="1" applyBorder="1" applyFont="1">
      <alignment horizontal="left" shrinkToFit="0" vertical="center" wrapText="0"/>
    </xf>
    <xf borderId="3" fillId="6" fontId="7" numFmtId="3" xfId="0" applyAlignment="1" applyBorder="1" applyFont="1" applyNumberFormat="1">
      <alignment horizontal="right" shrinkToFit="0" vertical="center" wrapText="0"/>
    </xf>
    <xf borderId="3" fillId="9" fontId="6" numFmtId="0" xfId="0" applyAlignment="1" applyBorder="1" applyFill="1" applyFont="1">
      <alignment horizontal="left" readingOrder="0" shrinkToFit="0" vertical="center" wrapText="0"/>
    </xf>
    <xf borderId="3" fillId="6" fontId="7" numFmtId="10" xfId="0" applyAlignment="1" applyBorder="1" applyFont="1" applyNumberFormat="1">
      <alignment horizontal="right" readingOrder="0" shrinkToFit="0" vertical="center" wrapText="0"/>
    </xf>
    <xf borderId="3" fillId="9" fontId="6" numFmtId="0" xfId="0" applyAlignment="1" applyBorder="1" applyFont="1">
      <alignment horizontal="left" shrinkToFit="0" vertical="center" wrapText="0"/>
    </xf>
    <xf borderId="3" fillId="6" fontId="7" numFmtId="10" xfId="0" applyAlignment="1" applyBorder="1" applyFont="1" applyNumberFormat="1">
      <alignment horizontal="right" shrinkToFit="0" vertical="center" wrapText="0"/>
    </xf>
    <xf borderId="6" fillId="3" fontId="8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horizontal="center" shrinkToFit="0" vertical="center" wrapText="1"/>
    </xf>
    <xf borderId="6" fillId="10" fontId="8" numFmtId="0" xfId="0" applyAlignment="1" applyBorder="1" applyFill="1" applyFont="1">
      <alignment horizontal="center" shrinkToFit="0" vertical="center" wrapText="1"/>
    </xf>
    <xf borderId="6" fillId="11" fontId="8" numFmtId="0" xfId="0" applyAlignment="1" applyBorder="1" applyFill="1" applyFont="1">
      <alignment horizontal="center" shrinkToFit="0" vertical="center" wrapText="1"/>
    </xf>
    <xf borderId="6" fillId="12" fontId="8" numFmtId="0" xfId="0" applyAlignment="1" applyBorder="1" applyFill="1" applyFont="1">
      <alignment horizontal="center" shrinkToFit="0" vertical="center" wrapText="1"/>
    </xf>
    <xf borderId="6" fillId="3" fontId="9" numFmtId="3" xfId="0" applyAlignment="1" applyBorder="1" applyFont="1" applyNumberFormat="1">
      <alignment horizontal="center" shrinkToFit="0" vertical="center" wrapText="0"/>
    </xf>
    <xf borderId="6" fillId="2" fontId="9" numFmtId="3" xfId="0" applyAlignment="1" applyBorder="1" applyFont="1" applyNumberFormat="1">
      <alignment horizontal="center" shrinkToFit="0" vertical="center" wrapText="0"/>
    </xf>
    <xf borderId="6" fillId="10" fontId="9" numFmtId="3" xfId="0" applyAlignment="1" applyBorder="1" applyFont="1" applyNumberFormat="1">
      <alignment horizontal="center" shrinkToFit="0" vertical="center" wrapText="0"/>
    </xf>
    <xf borderId="6" fillId="11" fontId="9" numFmtId="10" xfId="0" applyAlignment="1" applyBorder="1" applyFont="1" applyNumberFormat="1">
      <alignment horizontal="center" shrinkToFit="0" vertical="center" wrapText="0"/>
    </xf>
    <xf borderId="6" fillId="12" fontId="9" numFmtId="3" xfId="0" applyAlignment="1" applyBorder="1" applyFont="1" applyNumberFormat="1">
      <alignment horizontal="center" shrinkToFit="0" vertical="center" wrapText="0"/>
    </xf>
    <xf borderId="6" fillId="11" fontId="9" numFmtId="3" xfId="0" applyAlignment="1" applyBorder="1" applyFont="1" applyNumberFormat="1">
      <alignment horizontal="center" shrinkToFit="0" vertical="center" wrapText="0"/>
    </xf>
    <xf borderId="6" fillId="13" fontId="10" numFmtId="0" xfId="0" applyAlignment="1" applyBorder="1" applyFill="1" applyFont="1">
      <alignment horizontal="left" readingOrder="0" shrinkToFit="0" vertical="center" wrapText="0"/>
    </xf>
    <xf borderId="6" fillId="13" fontId="6" numFmtId="3" xfId="0" applyAlignment="1" applyBorder="1" applyFont="1" applyNumberFormat="1">
      <alignment horizontal="right" shrinkToFit="0" vertical="center" wrapText="0"/>
    </xf>
    <xf borderId="6" fillId="6" fontId="7" numFmtId="3" xfId="0" applyAlignment="1" applyBorder="1" applyFont="1" applyNumberFormat="1">
      <alignment horizontal="right" shrinkToFit="0" vertical="center" wrapText="0"/>
    </xf>
    <xf borderId="6" fillId="13" fontId="6" numFmtId="164" xfId="0" applyAlignment="1" applyBorder="1" applyFont="1" applyNumberFormat="1">
      <alignment horizontal="right" shrinkToFit="0" vertical="center" wrapText="0"/>
    </xf>
    <xf borderId="6" fillId="14" fontId="11" numFmtId="0" xfId="0" applyAlignment="1" applyBorder="1" applyFill="1" applyFont="1">
      <alignment horizontal="left" readingOrder="0" shrinkToFit="0" vertical="center" wrapText="0"/>
    </xf>
    <xf borderId="6" fillId="14" fontId="6" numFmtId="3" xfId="0" applyAlignment="1" applyBorder="1" applyFont="1" applyNumberFormat="1">
      <alignment horizontal="right" shrinkToFit="0" vertical="center" wrapText="0"/>
    </xf>
    <xf borderId="6" fillId="14" fontId="6" numFmtId="164" xfId="0" applyAlignment="1" applyBorder="1" applyFont="1" applyNumberFormat="1">
      <alignment horizontal="right" shrinkToFit="0" vertical="center" wrapText="0"/>
    </xf>
    <xf borderId="6" fillId="13" fontId="12" numFmtId="0" xfId="0" applyAlignment="1" applyBorder="1" applyFont="1">
      <alignment horizontal="left" readingOrder="0" shrinkToFit="0" vertical="center" wrapText="0"/>
    </xf>
    <xf borderId="6" fillId="14" fontId="13" numFmtId="0" xfId="0" applyAlignment="1" applyBorder="1" applyFont="1">
      <alignment horizontal="left" shrinkToFit="0" vertical="center" wrapText="0"/>
    </xf>
    <xf borderId="6" fillId="15" fontId="7" numFmtId="0" xfId="0" applyAlignment="1" applyBorder="1" applyFill="1" applyFont="1">
      <alignment horizontal="center" shrinkToFit="0" vertical="center" wrapText="0"/>
    </xf>
    <xf borderId="6" fillId="15" fontId="7" numFmtId="3" xfId="0" applyAlignment="1" applyBorder="1" applyFont="1" applyNumberFormat="1">
      <alignment horizontal="right" shrinkToFit="0" vertical="center" wrapText="0"/>
    </xf>
    <xf borderId="6" fillId="15" fontId="7" numFmtId="164" xfId="0" applyAlignment="1" applyBorder="1" applyFont="1" applyNumberFormat="1">
      <alignment horizontal="right" shrinkToFit="0" vertical="center" wrapText="0"/>
    </xf>
    <xf borderId="0" fillId="0" fontId="14" numFmtId="0" xfId="0" applyAlignment="1" applyFont="1">
      <alignment horizontal="left" shrinkToFit="0" vertical="bottom" wrapText="0"/>
    </xf>
    <xf borderId="1" fillId="2" fontId="15" numFmtId="0" xfId="0" applyAlignment="1" applyBorder="1" applyFont="1">
      <alignment horizontal="center" readingOrder="0" shrinkToFit="0" vertical="center" wrapText="0"/>
    </xf>
    <xf borderId="1" fillId="3" fontId="16" numFmtId="0" xfId="0" applyAlignment="1" applyBorder="1" applyFont="1">
      <alignment horizontal="center" shrinkToFit="0" vertical="center" wrapText="0"/>
    </xf>
    <xf borderId="6" fillId="13" fontId="17" numFmtId="0" xfId="0" applyAlignment="1" applyBorder="1" applyFont="1">
      <alignment horizontal="left" readingOrder="0" shrinkToFit="0" vertical="center" wrapText="0"/>
    </xf>
    <xf borderId="6" fillId="6" fontId="7" numFmtId="164" xfId="0" applyAlignment="1" applyBorder="1" applyFont="1" applyNumberFormat="1">
      <alignment horizontal="center" shrinkToFit="0" vertical="center" wrapText="0"/>
    </xf>
    <xf borderId="6" fillId="6" fontId="7" numFmtId="10" xfId="0" applyAlignment="1" applyBorder="1" applyFont="1" applyNumberFormat="1">
      <alignment horizontal="right" shrinkToFit="0" vertical="center" wrapText="0"/>
    </xf>
    <xf borderId="6" fillId="13" fontId="18" numFmtId="3" xfId="0" applyAlignment="1" applyBorder="1" applyFont="1" applyNumberFormat="1">
      <alignment horizontal="right" shrinkToFit="0" vertical="center" wrapText="0"/>
    </xf>
    <xf borderId="6" fillId="14" fontId="19" numFmtId="0" xfId="0" applyAlignment="1" applyBorder="1" applyFont="1">
      <alignment horizontal="left" readingOrder="0" shrinkToFit="0" vertical="center" wrapText="0"/>
    </xf>
    <xf borderId="6" fillId="14" fontId="18" numFmtId="3" xfId="0" applyAlignment="1" applyBorder="1" applyFont="1" applyNumberFormat="1">
      <alignment horizontal="right" shrinkToFit="0" vertical="center" wrapText="0"/>
    </xf>
    <xf borderId="6" fillId="13" fontId="20" numFmtId="0" xfId="0" applyAlignment="1" applyBorder="1" applyFont="1">
      <alignment horizontal="left" readingOrder="0" shrinkToFit="0" vertical="center" wrapText="0"/>
    </xf>
    <xf borderId="6" fillId="14" fontId="21" numFmtId="0" xfId="0" applyAlignment="1" applyBorder="1" applyFont="1">
      <alignment horizontal="left" shrinkToFit="0" vertical="center" wrapText="0"/>
    </xf>
    <xf borderId="6" fillId="15" fontId="5" numFmtId="0" xfId="0" applyAlignment="1" applyBorder="1" applyFont="1">
      <alignment horizontal="center" shrinkToFit="0" vertical="center" wrapText="0"/>
    </xf>
    <xf borderId="6" fillId="15" fontId="5" numFmtId="164" xfId="0" applyAlignment="1" applyBorder="1" applyFont="1" applyNumberFormat="1">
      <alignment horizontal="right" shrinkToFit="0" vertical="center" wrapText="0"/>
    </xf>
    <xf borderId="6" fillId="15" fontId="5" numFmtId="3" xfId="0" applyAlignment="1" applyBorder="1" applyFont="1" applyNumberFormat="1">
      <alignment horizontal="right" shrinkToFit="0" vertical="center" wrapText="0"/>
    </xf>
    <xf borderId="6" fillId="15" fontId="5" numFmtId="10" xfId="0" applyAlignment="1" applyBorder="1" applyFont="1" applyNumberFormat="1">
      <alignment horizontal="right" shrinkToFit="0" vertical="center" wrapText="0"/>
    </xf>
    <xf borderId="6" fillId="0" fontId="1" numFmtId="0" xfId="0" applyAlignment="1" applyBorder="1" applyFont="1">
      <alignment shrinkToFit="0" vertical="bottom" wrapText="0"/>
    </xf>
    <xf borderId="6" fillId="13" fontId="10" numFmtId="0" xfId="0" applyAlignment="1" applyBorder="1" applyFont="1">
      <alignment horizontal="left" readingOrder="0" shrinkToFit="0" vertical="center" wrapText="1"/>
    </xf>
    <xf borderId="3" fillId="13" fontId="22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shrinkToFit="0" vertical="bottom" wrapText="0"/>
    </xf>
    <xf borderId="6" fillId="13" fontId="22" numFmtId="0" xfId="0" applyAlignment="1" applyBorder="1" applyFont="1">
      <alignment horizontal="left" shrinkToFit="0" vertical="center" wrapText="1"/>
    </xf>
    <xf borderId="6" fillId="14" fontId="11" numFmtId="0" xfId="0" applyAlignment="1" applyBorder="1" applyFont="1">
      <alignment horizontal="left" readingOrder="0" shrinkToFit="0" vertical="center" wrapText="1"/>
    </xf>
    <xf borderId="3" fillId="14" fontId="22" numFmtId="0" xfId="0" applyAlignment="1" applyBorder="1" applyFont="1">
      <alignment horizontal="left" shrinkToFit="0" vertical="center" wrapText="1"/>
    </xf>
    <xf borderId="6" fillId="14" fontId="22" numFmtId="0" xfId="0" applyAlignment="1" applyBorder="1" applyFont="1">
      <alignment horizontal="left" shrinkToFit="0" vertical="center" wrapText="1"/>
    </xf>
    <xf borderId="6" fillId="13" fontId="12" numFmtId="0" xfId="0" applyAlignment="1" applyBorder="1" applyFont="1">
      <alignment horizontal="left" readingOrder="0" shrinkToFit="0" vertical="center" wrapText="1"/>
    </xf>
    <xf borderId="6" fillId="14" fontId="13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shrinkToFit="0" vertical="bottom" wrapText="0"/>
    </xf>
    <xf borderId="6" fillId="2" fontId="8" numFmtId="0" xfId="0" applyAlignment="1" applyBorder="1" applyFont="1">
      <alignment horizontal="center" readingOrder="0" shrinkToFit="0" vertical="center" wrapText="1"/>
    </xf>
    <xf borderId="6" fillId="13" fontId="7" numFmtId="3" xfId="0" applyAlignment="1" applyBorder="1" applyFont="1" applyNumberFormat="1">
      <alignment horizontal="center" shrinkToFit="0" vertical="center" wrapText="0"/>
    </xf>
    <xf borderId="6" fillId="6" fontId="7" numFmtId="165" xfId="0" applyAlignment="1" applyBorder="1" applyFont="1" applyNumberFormat="1">
      <alignment horizontal="center" readingOrder="0" shrinkToFit="0" vertical="center" wrapText="0"/>
    </xf>
    <xf borderId="6" fillId="6" fontId="7" numFmtId="2" xfId="0" applyAlignment="1" applyBorder="1" applyFont="1" applyNumberFormat="1">
      <alignment horizontal="center" shrinkToFit="0" vertical="center" wrapText="0"/>
    </xf>
    <xf borderId="6" fillId="13" fontId="7" numFmtId="3" xfId="0" applyAlignment="1" applyBorder="1" applyFont="1" applyNumberFormat="1">
      <alignment horizontal="right" shrinkToFit="0" vertical="center" wrapText="0"/>
    </xf>
    <xf borderId="6" fillId="13" fontId="23" numFmtId="3" xfId="0" applyAlignment="1" applyBorder="1" applyFont="1" applyNumberFormat="1">
      <alignment horizontal="right" shrinkToFit="0" vertical="center" wrapText="0"/>
    </xf>
    <xf borderId="6" fillId="14" fontId="7" numFmtId="3" xfId="0" applyAlignment="1" applyBorder="1" applyFont="1" applyNumberFormat="1">
      <alignment horizontal="center" shrinkToFit="0" vertical="center" wrapText="0"/>
    </xf>
    <xf borderId="6" fillId="14" fontId="6" numFmtId="165" xfId="0" applyAlignment="1" applyBorder="1" applyFont="1" applyNumberFormat="1">
      <alignment horizontal="center" shrinkToFit="0" vertical="center" wrapText="0"/>
    </xf>
    <xf borderId="6" fillId="14" fontId="7" numFmtId="3" xfId="0" applyAlignment="1" applyBorder="1" applyFont="1" applyNumberFormat="1">
      <alignment horizontal="right" shrinkToFit="0" vertical="center" wrapText="0"/>
    </xf>
    <xf borderId="6" fillId="14" fontId="23" numFmtId="3" xfId="0" applyAlignment="1" applyBorder="1" applyFont="1" applyNumberFormat="1">
      <alignment horizontal="right" shrinkToFit="0" vertical="center" wrapText="0"/>
    </xf>
    <xf borderId="6" fillId="13" fontId="6" numFmtId="165" xfId="0" applyAlignment="1" applyBorder="1" applyFont="1" applyNumberFormat="1">
      <alignment horizontal="center" shrinkToFit="0" vertical="center" wrapText="0"/>
    </xf>
    <xf borderId="6" fillId="6" fontId="7" numFmtId="2" xfId="0" applyAlignment="1" applyBorder="1" applyFont="1" applyNumberFormat="1">
      <alignment horizontal="center" readingOrder="0" shrinkToFit="0" vertical="center" wrapText="0"/>
    </xf>
    <xf borderId="6" fillId="15" fontId="5" numFmtId="3" xfId="0" applyAlignment="1" applyBorder="1" applyFont="1" applyNumberFormat="1">
      <alignment horizontal="center" shrinkToFit="0" vertical="center" wrapText="0"/>
    </xf>
    <xf borderId="6" fillId="15" fontId="5" numFmtId="49" xfId="0" applyAlignment="1" applyBorder="1" applyFont="1" applyNumberFormat="1">
      <alignment horizontal="center" readingOrder="0" shrinkToFit="0" vertical="center" wrapText="0"/>
    </xf>
    <xf borderId="6" fillId="15" fontId="5" numFmtId="2" xfId="0" applyAlignment="1" applyBorder="1" applyFont="1" applyNumberFormat="1">
      <alignment horizontal="center" shrinkToFit="0" vertical="center" wrapText="0"/>
    </xf>
    <xf borderId="6" fillId="13" fontId="7" numFmtId="10" xfId="0" applyAlignment="1" applyBorder="1" applyFont="1" applyNumberFormat="1">
      <alignment horizontal="right" shrinkToFit="0" vertical="center" wrapText="0"/>
    </xf>
    <xf borderId="6" fillId="13" fontId="7" numFmtId="166" xfId="0" applyAlignment="1" applyBorder="1" applyFont="1" applyNumberFormat="1">
      <alignment horizontal="right" shrinkToFit="0" vertical="center" wrapText="0"/>
    </xf>
    <xf borderId="6" fillId="14" fontId="7" numFmtId="10" xfId="0" applyAlignment="1" applyBorder="1" applyFont="1" applyNumberFormat="1">
      <alignment horizontal="right" shrinkToFit="0" vertical="center" wrapText="0"/>
    </xf>
    <xf borderId="6" fillId="14" fontId="7" numFmtId="166" xfId="0" applyAlignment="1" applyBorder="1" applyFont="1" applyNumberFormat="1">
      <alignment horizontal="right" shrinkToFit="0" vertical="center" wrapText="0"/>
    </xf>
    <xf borderId="6" fillId="13" fontId="6" numFmtId="165" xfId="0" applyAlignment="1" applyBorder="1" applyFont="1" applyNumberFormat="1">
      <alignment horizontal="right" shrinkToFit="0" vertical="center" wrapText="0"/>
    </xf>
    <xf borderId="6" fillId="14" fontId="6" numFmtId="165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8" width="16.0"/>
    <col customWidth="1" min="9" max="9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</row>
    <row r="2" ht="36.0" customHeight="1">
      <c r="A2" s="1"/>
      <c r="B2" s="2" t="s">
        <v>0</v>
      </c>
      <c r="C2" s="3"/>
      <c r="D2" s="3"/>
      <c r="E2" s="3"/>
      <c r="F2" s="3"/>
      <c r="G2" s="3"/>
      <c r="H2" s="3"/>
      <c r="I2" s="1"/>
    </row>
    <row r="3" ht="18.0" customHeight="1">
      <c r="A3" s="1"/>
      <c r="B3" s="4" t="s">
        <v>1</v>
      </c>
      <c r="C3" s="3"/>
      <c r="D3" s="3"/>
      <c r="E3" s="3"/>
      <c r="F3" s="3"/>
      <c r="G3" s="3"/>
      <c r="H3" s="3"/>
      <c r="I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</row>
    <row r="5" ht="21.75" customHeight="1">
      <c r="A5" s="1"/>
      <c r="B5" s="5" t="s">
        <v>2</v>
      </c>
      <c r="C5" s="3"/>
      <c r="D5" s="3"/>
      <c r="E5" s="3"/>
      <c r="F5" s="3"/>
      <c r="G5" s="3"/>
      <c r="H5" s="3"/>
      <c r="I5" s="1"/>
    </row>
    <row r="6" ht="18.0" customHeight="1">
      <c r="A6" s="1"/>
      <c r="B6" s="6" t="s">
        <v>3</v>
      </c>
      <c r="C6" s="7"/>
      <c r="D6" s="8"/>
      <c r="E6" s="9">
        <v>4.4875E7</v>
      </c>
      <c r="F6" s="7"/>
      <c r="G6" s="7"/>
      <c r="H6" s="8"/>
      <c r="I6" s="1"/>
    </row>
    <row r="7" ht="18.0" customHeight="1">
      <c r="A7" s="1"/>
      <c r="B7" s="6" t="s">
        <v>4</v>
      </c>
      <c r="C7" s="7"/>
      <c r="D7" s="8"/>
      <c r="E7" s="9">
        <v>15.0</v>
      </c>
      <c r="F7" s="7"/>
      <c r="G7" s="7"/>
      <c r="H7" s="8"/>
      <c r="I7" s="1"/>
    </row>
    <row r="8" ht="18.0" customHeight="1">
      <c r="A8" s="1"/>
      <c r="B8" s="10" t="s">
        <v>5</v>
      </c>
      <c r="C8" s="7"/>
      <c r="D8" s="8"/>
      <c r="E8" s="11">
        <v>0.38</v>
      </c>
      <c r="F8" s="7"/>
      <c r="G8" s="7"/>
      <c r="H8" s="8"/>
      <c r="I8" s="12"/>
    </row>
    <row r="9" ht="18.0" customHeight="1">
      <c r="A9" s="1"/>
      <c r="B9" s="10" t="s">
        <v>6</v>
      </c>
      <c r="C9" s="7"/>
      <c r="D9" s="8"/>
      <c r="E9" s="11">
        <v>0.32</v>
      </c>
      <c r="F9" s="7"/>
      <c r="G9" s="7"/>
      <c r="H9" s="8"/>
      <c r="I9" s="12"/>
    </row>
    <row r="10" ht="18.0" customHeight="1">
      <c r="A10" s="1"/>
      <c r="B10" s="10" t="s">
        <v>7</v>
      </c>
      <c r="C10" s="7"/>
      <c r="D10" s="8"/>
      <c r="E10" s="11">
        <v>0.07</v>
      </c>
      <c r="F10" s="7"/>
      <c r="G10" s="7"/>
      <c r="H10" s="8"/>
      <c r="I10" s="12"/>
    </row>
    <row r="11" ht="18.0" customHeight="1">
      <c r="A11" s="1"/>
      <c r="B11" s="10" t="s">
        <v>8</v>
      </c>
      <c r="C11" s="7"/>
      <c r="D11" s="8"/>
      <c r="E11" s="11">
        <v>0.23</v>
      </c>
      <c r="F11" s="7"/>
      <c r="G11" s="7"/>
      <c r="H11" s="8"/>
      <c r="I11" s="12"/>
    </row>
    <row r="12" ht="18.0" customHeight="1">
      <c r="A12" s="1"/>
      <c r="B12" s="13" t="s">
        <v>9</v>
      </c>
      <c r="C12" s="7"/>
      <c r="D12" s="8"/>
      <c r="E12" s="9">
        <v>6750.0</v>
      </c>
      <c r="F12" s="7"/>
      <c r="G12" s="7"/>
      <c r="H12" s="8"/>
      <c r="I12" s="1"/>
    </row>
    <row r="13" ht="18.0" customHeight="1">
      <c r="A13" s="1"/>
      <c r="B13" s="13" t="s">
        <v>10</v>
      </c>
      <c r="C13" s="7"/>
      <c r="D13" s="8"/>
      <c r="E13" s="9">
        <v>6750.0</v>
      </c>
      <c r="F13" s="7"/>
      <c r="G13" s="7"/>
      <c r="H13" s="8"/>
      <c r="I13" s="1"/>
    </row>
    <row r="14" ht="18.0" customHeight="1">
      <c r="A14" s="1"/>
      <c r="B14" s="13" t="s">
        <v>11</v>
      </c>
      <c r="C14" s="7"/>
      <c r="D14" s="8"/>
      <c r="E14" s="9">
        <v>7000.0</v>
      </c>
      <c r="F14" s="7"/>
      <c r="G14" s="7"/>
      <c r="H14" s="8"/>
      <c r="I14" s="1"/>
    </row>
    <row r="15" ht="18.0" customHeight="1">
      <c r="A15" s="1"/>
      <c r="B15" s="14" t="s">
        <v>12</v>
      </c>
      <c r="C15" s="7"/>
      <c r="D15" s="8"/>
      <c r="E15" s="15">
        <v>3500.0</v>
      </c>
      <c r="F15" s="7"/>
      <c r="G15" s="7"/>
      <c r="H15" s="8"/>
      <c r="I15" s="1"/>
    </row>
    <row r="16" ht="18.0" customHeight="1">
      <c r="A16" s="1"/>
      <c r="B16" s="16" t="s">
        <v>13</v>
      </c>
      <c r="C16" s="7"/>
      <c r="D16" s="8"/>
      <c r="E16" s="17">
        <v>0.017</v>
      </c>
      <c r="F16" s="7"/>
      <c r="G16" s="7"/>
      <c r="H16" s="8"/>
      <c r="I16" s="1"/>
    </row>
    <row r="17" ht="18.0" customHeight="1">
      <c r="A17" s="1"/>
      <c r="B17" s="16" t="s">
        <v>14</v>
      </c>
      <c r="C17" s="7"/>
      <c r="D17" s="8"/>
      <c r="E17" s="17">
        <v>0.017</v>
      </c>
      <c r="F17" s="7"/>
      <c r="G17" s="7"/>
      <c r="H17" s="8"/>
      <c r="I17" s="1"/>
    </row>
    <row r="18" ht="18.0" customHeight="1">
      <c r="A18" s="1"/>
      <c r="B18" s="16" t="s">
        <v>15</v>
      </c>
      <c r="C18" s="7"/>
      <c r="D18" s="8"/>
      <c r="E18" s="17">
        <v>0.075</v>
      </c>
      <c r="F18" s="7"/>
      <c r="G18" s="7"/>
      <c r="H18" s="8"/>
      <c r="I18" s="1"/>
    </row>
    <row r="19" ht="18.0" customHeight="1">
      <c r="A19" s="1"/>
      <c r="B19" s="18" t="s">
        <v>16</v>
      </c>
      <c r="C19" s="7"/>
      <c r="D19" s="8"/>
      <c r="E19" s="19">
        <v>0.008</v>
      </c>
      <c r="F19" s="7"/>
      <c r="G19" s="7"/>
      <c r="H19" s="8"/>
      <c r="I19" s="1"/>
    </row>
    <row r="20">
      <c r="A20" s="1"/>
      <c r="B20" s="1"/>
      <c r="C20" s="1"/>
      <c r="D20" s="1"/>
      <c r="E20" s="1"/>
      <c r="F20" s="1"/>
      <c r="G20" s="1"/>
      <c r="H20" s="1"/>
      <c r="I20" s="1"/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</row>
    <row r="22" ht="21.75" customHeight="1">
      <c r="A22" s="1"/>
      <c r="B22" s="5" t="s">
        <v>17</v>
      </c>
      <c r="C22" s="3"/>
      <c r="D22" s="3"/>
      <c r="E22" s="3"/>
      <c r="F22" s="3"/>
      <c r="G22" s="3"/>
      <c r="H22" s="3"/>
      <c r="I22" s="1"/>
    </row>
    <row r="23" ht="19.5" customHeight="1">
      <c r="A23" s="1"/>
      <c r="B23" s="20" t="s">
        <v>18</v>
      </c>
      <c r="C23" s="21" t="s">
        <v>19</v>
      </c>
      <c r="D23" s="22" t="s">
        <v>20</v>
      </c>
      <c r="E23" s="23" t="s">
        <v>21</v>
      </c>
      <c r="F23" s="24" t="s">
        <v>22</v>
      </c>
      <c r="G23" s="23" t="s">
        <v>23</v>
      </c>
      <c r="H23" s="1"/>
      <c r="I23" s="1"/>
    </row>
    <row r="24" ht="25.5" customHeight="1">
      <c r="A24" s="1"/>
      <c r="B24" s="25">
        <f>'📊 Resumen Ejecutivo'!E6</f>
        <v>44875000</v>
      </c>
      <c r="C24" s="26">
        <f>('📊 Resumen Ejecutivo'!E6*'📊 Resumen Ejecutivo'!E8/('📊 Resumen Ejecutivo'!E12/1000))+('📊 Resumen Ejecutivo'!E6*'📊 Resumen Ejecutivo'!E9/('📊 Resumen Ejecutivo'!E13/1000))+('📊 Resumen Ejecutivo'!E6*'📊 Resumen Ejecutivo'!E10/('📊 Resumen Ejecutivo'!E14/1000))+('📊 Resumen Ejecutivo'!E6*'📊 Resumen Ejecutivo'!E11/('📊 Resumen Ejecutivo'!E15/1000))</f>
        <v>8051382.275</v>
      </c>
      <c r="D24" s="27">
        <f>(C24*E24)</f>
        <v>152895.7494</v>
      </c>
      <c r="E24" s="28">
        <f>('📊 Resumen Ejecutivo'!$E$8*'📊 Resumen Ejecutivo'!$E$16+'📊 Resumen Ejecutivo'!$E$9*'📊 Resumen Ejecutivo'!$E$17+'📊 Resumen Ejecutivo'!$E$10*'📊 Resumen Ejecutivo'!$E$18+'📊 Resumen Ejecutivo'!$E$11*'📊 Resumen Ejecutivo'!$E$19)/('📊 Resumen Ejecutivo'!$E$8+'📊 Resumen Ejecutivo'!$E$9+'📊 Resumen Ejecutivo'!$E$10+'📊 Resumen Ejecutivo'!$E$11)</f>
        <v>0.01899</v>
      </c>
      <c r="F24" s="29">
        <f>IF(D24&gt;0,B24/D24,0)</f>
        <v>293.500638</v>
      </c>
      <c r="G24" s="30">
        <f>'📊 Resumen Ejecutivo'!E7</f>
        <v>15</v>
      </c>
      <c r="H24" s="1"/>
      <c r="I24" s="1"/>
    </row>
    <row r="25" ht="7.5" customHeight="1">
      <c r="A25" s="1"/>
      <c r="B25" s="1"/>
      <c r="C25" s="1"/>
      <c r="D25" s="1"/>
      <c r="E25" s="1"/>
      <c r="F25" s="1"/>
      <c r="G25" s="1"/>
      <c r="H25" s="1"/>
      <c r="I25" s="1"/>
    </row>
    <row r="26" ht="21.75" customHeight="1">
      <c r="A26" s="1"/>
      <c r="B26" s="5" t="s">
        <v>24</v>
      </c>
      <c r="C26" s="3"/>
      <c r="D26" s="3"/>
      <c r="E26" s="3"/>
      <c r="F26" s="3"/>
      <c r="G26" s="3"/>
      <c r="H26" s="3"/>
      <c r="I26" s="1"/>
    </row>
    <row r="27" ht="21.75" customHeight="1">
      <c r="A27" s="1"/>
      <c r="B27" s="21" t="s">
        <v>25</v>
      </c>
      <c r="C27" s="21" t="s">
        <v>26</v>
      </c>
      <c r="D27" s="21" t="s">
        <v>27</v>
      </c>
      <c r="E27" s="21" t="s">
        <v>28</v>
      </c>
      <c r="F27" s="21" t="s">
        <v>29</v>
      </c>
      <c r="G27" s="21" t="s">
        <v>30</v>
      </c>
      <c r="H27" s="21" t="s">
        <v>31</v>
      </c>
      <c r="I27" s="1"/>
    </row>
    <row r="28" ht="18.0" customHeight="1">
      <c r="A28" s="1"/>
      <c r="B28" s="31" t="s">
        <v>32</v>
      </c>
      <c r="C28" s="32">
        <f>'📊 Resumen Ejecutivo'!E6*'📊 Resumen Ejecutivo'!E8</f>
        <v>17052500</v>
      </c>
      <c r="D28" s="33">
        <v>0.0</v>
      </c>
      <c r="E28" s="32">
        <f t="shared" ref="E28:E31" si="1">D28-C28</f>
        <v>-17052500</v>
      </c>
      <c r="F28" s="34">
        <f t="shared" ref="F28:F32" si="2">IF(C28&gt;0,D28/C28,0)</f>
        <v>0</v>
      </c>
      <c r="G28" s="32">
        <f>'📊 Resumen Ejecutivo'!E6*'📊 Resumen Ejecutivo'!E8/('📊 Resumen Ejecutivo'!E12/1000)</f>
        <v>2526296.296</v>
      </c>
      <c r="H28" s="32">
        <f>'📊 Resumen Ejecutivo'!E6*'📊 Resumen Ejecutivo'!E8/('📊 Resumen Ejecutivo'!E12/1000)*'📊 Resumen Ejecutivo'!E16</f>
        <v>42947.03704</v>
      </c>
      <c r="I28" s="1"/>
    </row>
    <row r="29" ht="18.0" customHeight="1">
      <c r="A29" s="1"/>
      <c r="B29" s="35" t="s">
        <v>33</v>
      </c>
      <c r="C29" s="36">
        <f>'📊 Resumen Ejecutivo'!E6*'📊 Resumen Ejecutivo'!E9</f>
        <v>14360000</v>
      </c>
      <c r="D29" s="33">
        <v>0.0</v>
      </c>
      <c r="E29" s="36">
        <f t="shared" si="1"/>
        <v>-14360000</v>
      </c>
      <c r="F29" s="37">
        <f t="shared" si="2"/>
        <v>0</v>
      </c>
      <c r="G29" s="36">
        <f>'📊 Resumen Ejecutivo'!E6*'📊 Resumen Ejecutivo'!E9/('📊 Resumen Ejecutivo'!E13/1000)</f>
        <v>2127407.407</v>
      </c>
      <c r="H29" s="36">
        <f>'📊 Resumen Ejecutivo'!E6*'📊 Resumen Ejecutivo'!E9/('📊 Resumen Ejecutivo'!E13/1000)*'📊 Resumen Ejecutivo'!E17</f>
        <v>36165.92593</v>
      </c>
      <c r="I29" s="1"/>
    </row>
    <row r="30" ht="18.0" customHeight="1">
      <c r="A30" s="1"/>
      <c r="B30" s="38" t="s">
        <v>34</v>
      </c>
      <c r="C30" s="32">
        <f>'📊 Resumen Ejecutivo'!E6*'📊 Resumen Ejecutivo'!E10</f>
        <v>3141250</v>
      </c>
      <c r="D30" s="33">
        <v>0.0</v>
      </c>
      <c r="E30" s="32">
        <f t="shared" si="1"/>
        <v>-3141250</v>
      </c>
      <c r="F30" s="34">
        <f t="shared" si="2"/>
        <v>0</v>
      </c>
      <c r="G30" s="32">
        <f>'📊 Resumen Ejecutivo'!E6*'📊 Resumen Ejecutivo'!E10/('📊 Resumen Ejecutivo'!E14/1000)</f>
        <v>448750</v>
      </c>
      <c r="H30" s="32">
        <f>'📊 Resumen Ejecutivo'!E6*'📊 Resumen Ejecutivo'!E10/('📊 Resumen Ejecutivo'!E14/1000)*'📊 Resumen Ejecutivo'!E18</f>
        <v>33656.25</v>
      </c>
      <c r="I30" s="1"/>
    </row>
    <row r="31" ht="18.0" customHeight="1">
      <c r="A31" s="1"/>
      <c r="B31" s="39" t="s">
        <v>35</v>
      </c>
      <c r="C31" s="36">
        <f>'📊 Resumen Ejecutivo'!E6*'📊 Resumen Ejecutivo'!E11</f>
        <v>10321250</v>
      </c>
      <c r="D31" s="33">
        <v>0.0</v>
      </c>
      <c r="E31" s="36">
        <f t="shared" si="1"/>
        <v>-10321250</v>
      </c>
      <c r="F31" s="37">
        <f t="shared" si="2"/>
        <v>0</v>
      </c>
      <c r="G31" s="36">
        <f>'📊 Resumen Ejecutivo'!E6*'📊 Resumen Ejecutivo'!E11/('📊 Resumen Ejecutivo'!E15/1000)</f>
        <v>2948928.571</v>
      </c>
      <c r="H31" s="36">
        <f>'📊 Resumen Ejecutivo'!E6*'📊 Resumen Ejecutivo'!E11/('📊 Resumen Ejecutivo'!E15/1000)*'📊 Resumen Ejecutivo'!E19</f>
        <v>23591.42857</v>
      </c>
      <c r="I31" s="1"/>
    </row>
    <row r="32" ht="21.75" customHeight="1">
      <c r="A32" s="1"/>
      <c r="B32" s="40" t="s">
        <v>36</v>
      </c>
      <c r="C32" s="41">
        <f t="shared" ref="C32:E32" si="3">SUM(C28:C31)</f>
        <v>44875000</v>
      </c>
      <c r="D32" s="41">
        <f t="shared" si="3"/>
        <v>0</v>
      </c>
      <c r="E32" s="41">
        <f t="shared" si="3"/>
        <v>-44875000</v>
      </c>
      <c r="F32" s="42">
        <f t="shared" si="2"/>
        <v>0</v>
      </c>
      <c r="G32" s="41">
        <f t="shared" ref="G32:H32" si="4">SUM(G28:G31)</f>
        <v>8051382.275</v>
      </c>
      <c r="H32" s="41">
        <f t="shared" si="4"/>
        <v>136360.6415</v>
      </c>
      <c r="I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</row>
    <row r="34" ht="15.75" customHeight="1">
      <c r="A34" s="1"/>
      <c r="B34" s="43" t="s">
        <v>37</v>
      </c>
      <c r="C34" s="1"/>
      <c r="D34" s="1"/>
      <c r="E34" s="1"/>
      <c r="F34" s="1"/>
      <c r="G34" s="1"/>
      <c r="H34" s="1"/>
      <c r="I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2:H2"/>
    <mergeCell ref="B3:H3"/>
    <mergeCell ref="B5:H5"/>
    <mergeCell ref="B6:D6"/>
    <mergeCell ref="E6:H6"/>
    <mergeCell ref="B7:D7"/>
    <mergeCell ref="E7:H7"/>
    <mergeCell ref="E12:H12"/>
    <mergeCell ref="E13:H13"/>
    <mergeCell ref="E14:H14"/>
    <mergeCell ref="E15:H15"/>
    <mergeCell ref="E16:H16"/>
    <mergeCell ref="E17:H17"/>
    <mergeCell ref="E18:H18"/>
    <mergeCell ref="E19:H19"/>
    <mergeCell ref="B8:D8"/>
    <mergeCell ref="E8:H8"/>
    <mergeCell ref="B9:D9"/>
    <mergeCell ref="E9:H9"/>
    <mergeCell ref="B10:D10"/>
    <mergeCell ref="E10:H10"/>
    <mergeCell ref="E11:H11"/>
    <mergeCell ref="B18:D18"/>
    <mergeCell ref="B19:D19"/>
    <mergeCell ref="B22:H22"/>
    <mergeCell ref="B26:H26"/>
    <mergeCell ref="B11:D11"/>
    <mergeCell ref="B12:D12"/>
    <mergeCell ref="B13:D13"/>
    <mergeCell ref="B14:D14"/>
    <mergeCell ref="B15:D15"/>
    <mergeCell ref="B16:D16"/>
    <mergeCell ref="B17:D1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4" width="16.0"/>
    <col customWidth="1" min="5" max="11" width="14.0"/>
    <col customWidth="1" min="12" max="12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3.75" customHeight="1">
      <c r="A2" s="1"/>
      <c r="B2" s="44" t="s">
        <v>38</v>
      </c>
      <c r="C2" s="3"/>
      <c r="D2" s="3"/>
      <c r="E2" s="3"/>
      <c r="F2" s="3"/>
      <c r="G2" s="3"/>
      <c r="H2" s="3"/>
      <c r="I2" s="3"/>
      <c r="J2" s="3"/>
      <c r="K2" s="3"/>
      <c r="L2" s="1"/>
    </row>
    <row r="3" ht="15.75" customHeight="1">
      <c r="A3" s="1"/>
      <c r="B3" s="45" t="s">
        <v>39</v>
      </c>
      <c r="C3" s="3"/>
      <c r="D3" s="3"/>
      <c r="E3" s="3"/>
      <c r="F3" s="3"/>
      <c r="G3" s="3"/>
      <c r="H3" s="3"/>
      <c r="I3" s="3"/>
      <c r="J3" s="3"/>
      <c r="K3" s="3"/>
      <c r="L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19.5" customHeight="1">
      <c r="A5" s="1"/>
      <c r="B5" s="21" t="s">
        <v>25</v>
      </c>
      <c r="C5" s="21" t="s">
        <v>40</v>
      </c>
      <c r="D5" s="21" t="s">
        <v>41</v>
      </c>
      <c r="E5" s="21" t="s">
        <v>42</v>
      </c>
      <c r="F5" s="21" t="s">
        <v>43</v>
      </c>
      <c r="G5" s="21" t="s">
        <v>19</v>
      </c>
      <c r="H5" s="21" t="s">
        <v>44</v>
      </c>
      <c r="I5" s="21" t="s">
        <v>20</v>
      </c>
      <c r="J5" s="21" t="s">
        <v>45</v>
      </c>
      <c r="K5" s="21" t="s">
        <v>46</v>
      </c>
      <c r="L5" s="1"/>
    </row>
    <row r="6" ht="21.75" customHeight="1">
      <c r="A6" s="1"/>
      <c r="B6" s="46" t="s">
        <v>32</v>
      </c>
      <c r="C6" s="47">
        <f>'📊 Resumen Ejecutivo'!E8</f>
        <v>0.38</v>
      </c>
      <c r="D6" s="32">
        <f>'📊 Resumen Ejecutivo'!$E$6*C6</f>
        <v>17052500</v>
      </c>
      <c r="E6" s="32">
        <f>D6/'📊 Resumen Ejecutivo'!$E$7</f>
        <v>1136833.333</v>
      </c>
      <c r="F6" s="33">
        <f>'📊 Resumen Ejecutivo'!E12</f>
        <v>6750</v>
      </c>
      <c r="G6" s="32">
        <f t="shared" ref="G6:G9" si="1">(D6/(F6/1000))</f>
        <v>2526296.296</v>
      </c>
      <c r="H6" s="48">
        <f>'📊 Resumen Ejecutivo'!E16</f>
        <v>0.017</v>
      </c>
      <c r="I6" s="32">
        <f t="shared" ref="I6:I9" si="2">G6*H6</f>
        <v>42947.03704</v>
      </c>
      <c r="J6" s="32">
        <f t="shared" ref="J6:J9" si="3">IF(I6&gt;0,D6/I6,0)</f>
        <v>397.0588235</v>
      </c>
      <c r="K6" s="49">
        <f t="shared" ref="K6:K9" si="4">G6*0.7</f>
        <v>1768407.407</v>
      </c>
      <c r="L6" s="1"/>
    </row>
    <row r="7" ht="21.75" customHeight="1">
      <c r="A7" s="1"/>
      <c r="B7" s="50" t="s">
        <v>33</v>
      </c>
      <c r="C7" s="47">
        <f>'📊 Resumen Ejecutivo'!E9</f>
        <v>0.32</v>
      </c>
      <c r="D7" s="36">
        <f>'📊 Resumen Ejecutivo'!$E$6*C7</f>
        <v>14360000</v>
      </c>
      <c r="E7" s="36">
        <f>D7/'📊 Resumen Ejecutivo'!$E$7</f>
        <v>957333.3333</v>
      </c>
      <c r="F7" s="33">
        <f>'📊 Resumen Ejecutivo'!E13</f>
        <v>6750</v>
      </c>
      <c r="G7" s="36">
        <f t="shared" si="1"/>
        <v>2127407.407</v>
      </c>
      <c r="H7" s="48">
        <f>'📊 Resumen Ejecutivo'!E17</f>
        <v>0.017</v>
      </c>
      <c r="I7" s="36">
        <f t="shared" si="2"/>
        <v>36165.92593</v>
      </c>
      <c r="J7" s="36">
        <f t="shared" si="3"/>
        <v>397.0588235</v>
      </c>
      <c r="K7" s="51">
        <f t="shared" si="4"/>
        <v>1489185.185</v>
      </c>
      <c r="L7" s="1"/>
    </row>
    <row r="8" ht="21.75" customHeight="1">
      <c r="A8" s="1"/>
      <c r="B8" s="52" t="s">
        <v>34</v>
      </c>
      <c r="C8" s="47">
        <f>'📊 Resumen Ejecutivo'!E10</f>
        <v>0.07</v>
      </c>
      <c r="D8" s="32">
        <f>'📊 Resumen Ejecutivo'!$E$6*C8</f>
        <v>3141250</v>
      </c>
      <c r="E8" s="32">
        <f>D8/'📊 Resumen Ejecutivo'!$E$7</f>
        <v>209416.6667</v>
      </c>
      <c r="F8" s="33">
        <f>'📊 Resumen Ejecutivo'!E14</f>
        <v>7000</v>
      </c>
      <c r="G8" s="32">
        <f t="shared" si="1"/>
        <v>448750</v>
      </c>
      <c r="H8" s="48">
        <f>'📊 Resumen Ejecutivo'!E18</f>
        <v>0.075</v>
      </c>
      <c r="I8" s="32">
        <f t="shared" si="2"/>
        <v>33656.25</v>
      </c>
      <c r="J8" s="32">
        <f t="shared" si="3"/>
        <v>93.33333333</v>
      </c>
      <c r="K8" s="49">
        <f t="shared" si="4"/>
        <v>314125</v>
      </c>
      <c r="L8" s="1"/>
    </row>
    <row r="9" ht="21.75" customHeight="1">
      <c r="A9" s="1"/>
      <c r="B9" s="53" t="s">
        <v>35</v>
      </c>
      <c r="C9" s="47">
        <f>'📊 Resumen Ejecutivo'!E11</f>
        <v>0.23</v>
      </c>
      <c r="D9" s="36">
        <f>'📊 Resumen Ejecutivo'!$E$6*C9</f>
        <v>10321250</v>
      </c>
      <c r="E9" s="36">
        <f>D9/'📊 Resumen Ejecutivo'!$E$7</f>
        <v>688083.3333</v>
      </c>
      <c r="F9" s="33">
        <f>'📊 Resumen Ejecutivo'!E15</f>
        <v>3500</v>
      </c>
      <c r="G9" s="36">
        <f t="shared" si="1"/>
        <v>2948928.571</v>
      </c>
      <c r="H9" s="48">
        <f>'📊 Resumen Ejecutivo'!E19</f>
        <v>0.008</v>
      </c>
      <c r="I9" s="36">
        <f t="shared" si="2"/>
        <v>23591.42857</v>
      </c>
      <c r="J9" s="36">
        <f t="shared" si="3"/>
        <v>437.5</v>
      </c>
      <c r="K9" s="51">
        <f t="shared" si="4"/>
        <v>2064250</v>
      </c>
      <c r="L9" s="1"/>
    </row>
    <row r="10" ht="21.75" customHeight="1">
      <c r="A10" s="1"/>
      <c r="B10" s="54" t="s">
        <v>47</v>
      </c>
      <c r="C10" s="55">
        <f t="shared" ref="C10:E10" si="5">SUM(C6:C9)</f>
        <v>1</v>
      </c>
      <c r="D10" s="56">
        <f t="shared" si="5"/>
        <v>44875000</v>
      </c>
      <c r="E10" s="56">
        <f t="shared" si="5"/>
        <v>2991666.667</v>
      </c>
      <c r="F10" s="56">
        <f>SUMPRODUCT(C6:C9,F6:F9)/SUM(C6:C9)</f>
        <v>6020</v>
      </c>
      <c r="G10" s="56">
        <f>SUM(G6:G9)</f>
        <v>8051382.275</v>
      </c>
      <c r="H10" s="57">
        <f>SUMPRODUCT(C6:C9,H6:H9)/SUM(C6:C9)</f>
        <v>0.01899</v>
      </c>
      <c r="I10" s="56">
        <f t="shared" ref="I10:K10" si="6">SUM(I6:I9)</f>
        <v>136360.6415</v>
      </c>
      <c r="J10" s="56">
        <f t="shared" si="6"/>
        <v>1324.95098</v>
      </c>
      <c r="K10" s="56">
        <f t="shared" si="6"/>
        <v>5635967.593</v>
      </c>
      <c r="L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7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1.75" customHeight="1">
      <c r="A13" s="1"/>
      <c r="B13" s="5" t="s">
        <v>48</v>
      </c>
      <c r="C13" s="3"/>
      <c r="D13" s="3"/>
      <c r="E13" s="3"/>
      <c r="F13" s="3"/>
      <c r="G13" s="3"/>
      <c r="H13" s="3"/>
      <c r="I13" s="3"/>
      <c r="J13" s="3"/>
      <c r="K13" s="3"/>
      <c r="L13" s="1"/>
    </row>
    <row r="14" ht="19.5" customHeight="1">
      <c r="A14" s="1"/>
      <c r="B14" s="21" t="s">
        <v>25</v>
      </c>
      <c r="C14" s="21" t="s">
        <v>49</v>
      </c>
      <c r="D14" s="21" t="s">
        <v>50</v>
      </c>
      <c r="E14" s="21" t="s">
        <v>51</v>
      </c>
      <c r="F14" s="58"/>
      <c r="G14" s="58"/>
      <c r="H14" s="58"/>
      <c r="I14" s="58"/>
      <c r="J14" s="58"/>
      <c r="K14" s="21" t="s">
        <v>52</v>
      </c>
      <c r="L14" s="1"/>
    </row>
    <row r="15" ht="39.75" customHeight="1">
      <c r="A15" s="1"/>
      <c r="B15" s="59" t="s">
        <v>32</v>
      </c>
      <c r="C15" s="60" t="s">
        <v>53</v>
      </c>
      <c r="D15" s="8"/>
      <c r="E15" s="60" t="s">
        <v>54</v>
      </c>
      <c r="F15" s="7"/>
      <c r="G15" s="7"/>
      <c r="H15" s="8"/>
      <c r="I15" s="61"/>
      <c r="J15" s="8"/>
      <c r="K15" s="62" t="s">
        <v>55</v>
      </c>
      <c r="L15" s="1"/>
    </row>
    <row r="16" ht="39.75" customHeight="1">
      <c r="A16" s="1"/>
      <c r="B16" s="63" t="s">
        <v>33</v>
      </c>
      <c r="C16" s="64" t="s">
        <v>56</v>
      </c>
      <c r="D16" s="8"/>
      <c r="E16" s="64" t="s">
        <v>57</v>
      </c>
      <c r="F16" s="7"/>
      <c r="G16" s="7"/>
      <c r="H16" s="8"/>
      <c r="I16" s="61"/>
      <c r="J16" s="8"/>
      <c r="K16" s="65" t="s">
        <v>58</v>
      </c>
      <c r="L16" s="1"/>
    </row>
    <row r="17" ht="39.75" customHeight="1">
      <c r="A17" s="1"/>
      <c r="B17" s="66" t="s">
        <v>34</v>
      </c>
      <c r="C17" s="60" t="s">
        <v>59</v>
      </c>
      <c r="D17" s="8"/>
      <c r="E17" s="60" t="s">
        <v>60</v>
      </c>
      <c r="F17" s="7"/>
      <c r="G17" s="7"/>
      <c r="H17" s="8"/>
      <c r="I17" s="61"/>
      <c r="J17" s="8"/>
      <c r="K17" s="62" t="s">
        <v>61</v>
      </c>
      <c r="L17" s="1"/>
    </row>
    <row r="18" ht="39.75" customHeight="1">
      <c r="A18" s="1"/>
      <c r="B18" s="67" t="s">
        <v>35</v>
      </c>
      <c r="C18" s="64" t="s">
        <v>62</v>
      </c>
      <c r="D18" s="8"/>
      <c r="E18" s="64" t="s">
        <v>63</v>
      </c>
      <c r="F18" s="7"/>
      <c r="G18" s="7"/>
      <c r="H18" s="8"/>
      <c r="I18" s="61"/>
      <c r="J18" s="8"/>
      <c r="K18" s="65" t="s">
        <v>64</v>
      </c>
      <c r="L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ht="15.0" customHeight="1">
      <c r="A20" s="1"/>
      <c r="B20" s="68" t="s">
        <v>65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16:H16"/>
    <mergeCell ref="I16:J16"/>
    <mergeCell ref="C17:D17"/>
    <mergeCell ref="E17:H17"/>
    <mergeCell ref="I17:J17"/>
    <mergeCell ref="C18:D18"/>
    <mergeCell ref="E18:H18"/>
    <mergeCell ref="I18:J18"/>
    <mergeCell ref="B2:K2"/>
    <mergeCell ref="B3:K3"/>
    <mergeCell ref="B13:K13"/>
    <mergeCell ref="C15:D15"/>
    <mergeCell ref="E15:H15"/>
    <mergeCell ref="I15:J15"/>
    <mergeCell ref="C16:D1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17.0"/>
    <col customWidth="1" min="4" max="4" width="14.0"/>
    <col customWidth="1" min="5" max="5" width="15.0"/>
    <col customWidth="1" min="6" max="9" width="14.0"/>
    <col customWidth="1" min="10" max="13" width="12.0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3.75" customHeight="1">
      <c r="A2" s="1"/>
      <c r="B2" s="44" t="s">
        <v>66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</row>
    <row r="3" ht="15.75" customHeight="1">
      <c r="A3" s="1"/>
      <c r="B3" s="45" t="s">
        <v>67</v>
      </c>
      <c r="C3" s="3"/>
      <c r="D3" s="3"/>
      <c r="E3" s="3"/>
      <c r="F3" s="3"/>
      <c r="G3" s="3"/>
      <c r="H3" s="3"/>
      <c r="I3" s="3"/>
      <c r="J3" s="3"/>
      <c r="K3" s="3"/>
      <c r="L3" s="3"/>
      <c r="M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1.75" customHeight="1">
      <c r="A5" s="1"/>
      <c r="B5" s="21" t="s">
        <v>68</v>
      </c>
      <c r="C5" s="21" t="s">
        <v>69</v>
      </c>
      <c r="D5" s="21" t="s">
        <v>70</v>
      </c>
      <c r="E5" s="21" t="s">
        <v>71</v>
      </c>
      <c r="F5" s="69" t="s">
        <v>72</v>
      </c>
      <c r="G5" s="69" t="s">
        <v>73</v>
      </c>
      <c r="H5" s="69" t="s">
        <v>74</v>
      </c>
      <c r="I5" s="21" t="s">
        <v>75</v>
      </c>
      <c r="J5" s="69" t="s">
        <v>76</v>
      </c>
      <c r="K5" s="69" t="s">
        <v>77</v>
      </c>
      <c r="L5" s="69" t="s">
        <v>78</v>
      </c>
      <c r="M5" s="21" t="s">
        <v>79</v>
      </c>
    </row>
    <row r="6" ht="18.0" customHeight="1">
      <c r="A6" s="1"/>
      <c r="B6" s="70">
        <v>1.0</v>
      </c>
      <c r="C6" s="71">
        <v>46182.0</v>
      </c>
      <c r="D6" s="72">
        <v>0.7</v>
      </c>
      <c r="E6" s="73">
        <f>'📊 Resumen Ejecutivo'!$E$6*(D6/SUM($D$6:$D$20))</f>
        <v>1697972.973</v>
      </c>
      <c r="F6" s="32">
        <f>E6*'📊 Resumen Ejecutivo'!$E$8</f>
        <v>645229.7297</v>
      </c>
      <c r="G6" s="32">
        <f>E6*'📊 Resumen Ejecutivo'!$E$9</f>
        <v>543351.3514</v>
      </c>
      <c r="H6" s="32">
        <f>E6*'📊 Resumen Ejecutivo'!$E$10</f>
        <v>118858.1081</v>
      </c>
      <c r="I6" s="32">
        <f>E6*'📊 Resumen Ejecutivo'!$E$11</f>
        <v>390533.7838</v>
      </c>
      <c r="J6" s="74">
        <f>(F6/('📊 Resumen Ejecutivo'!$E$12/1000))</f>
        <v>95589.58959</v>
      </c>
      <c r="K6" s="74">
        <f>(G6/('📊 Resumen Ejecutivo'!$E$13/1000))</f>
        <v>80496.4965</v>
      </c>
      <c r="L6" s="74">
        <f>(H6/('📊 Resumen Ejecutivo'!$E$14/1000))</f>
        <v>16979.72973</v>
      </c>
      <c r="M6" s="74">
        <f>(I6/('📊 Resumen Ejecutivo'!$E$15/1000))</f>
        <v>111581.0811</v>
      </c>
    </row>
    <row r="7" ht="18.0" customHeight="1">
      <c r="A7" s="1"/>
      <c r="B7" s="75">
        <v>2.0</v>
      </c>
      <c r="C7" s="76">
        <f t="shared" ref="C7:C20" si="1">C6+1</f>
        <v>46183</v>
      </c>
      <c r="D7" s="72">
        <v>0.8</v>
      </c>
      <c r="E7" s="77">
        <f>'📊 Resumen Ejecutivo'!$E$6*(D7/SUM($D$6:$D$20))</f>
        <v>1940540.541</v>
      </c>
      <c r="F7" s="36">
        <f>E7*'📊 Resumen Ejecutivo'!$E$8</f>
        <v>737405.4054</v>
      </c>
      <c r="G7" s="36">
        <f>E7*'📊 Resumen Ejecutivo'!$E$9</f>
        <v>620972.973</v>
      </c>
      <c r="H7" s="36">
        <f>E7*'📊 Resumen Ejecutivo'!$E$10</f>
        <v>135837.8378</v>
      </c>
      <c r="I7" s="36">
        <f>E7*'📊 Resumen Ejecutivo'!$E$11</f>
        <v>446324.3243</v>
      </c>
      <c r="J7" s="78">
        <f>(F7/('📊 Resumen Ejecutivo'!$E$12/1000))</f>
        <v>109245.2452</v>
      </c>
      <c r="K7" s="78">
        <f>(G7/('📊 Resumen Ejecutivo'!$E$13/1000))</f>
        <v>91995.996</v>
      </c>
      <c r="L7" s="78">
        <f>(H7/('📊 Resumen Ejecutivo'!$E$14/1000))</f>
        <v>19405.40541</v>
      </c>
      <c r="M7" s="78">
        <f>(I7/('📊 Resumen Ejecutivo'!$E$15/1000))</f>
        <v>127521.2355</v>
      </c>
    </row>
    <row r="8" ht="18.0" customHeight="1">
      <c r="A8" s="1"/>
      <c r="B8" s="70">
        <v>3.0</v>
      </c>
      <c r="C8" s="79">
        <f t="shared" si="1"/>
        <v>46184</v>
      </c>
      <c r="D8" s="72">
        <v>0.9</v>
      </c>
      <c r="E8" s="73">
        <f>'📊 Resumen Ejecutivo'!$E$6*(D8/SUM($D$6:$D$20))</f>
        <v>2183108.108</v>
      </c>
      <c r="F8" s="32">
        <f>E8*'📊 Resumen Ejecutivo'!$E$8</f>
        <v>829581.0811</v>
      </c>
      <c r="G8" s="32">
        <f>E8*'📊 Resumen Ejecutivo'!$E$9</f>
        <v>698594.5946</v>
      </c>
      <c r="H8" s="32">
        <f>E8*'📊 Resumen Ejecutivo'!$E$10</f>
        <v>152817.5676</v>
      </c>
      <c r="I8" s="32">
        <f>E8*'📊 Resumen Ejecutivo'!$E$11</f>
        <v>502114.8649</v>
      </c>
      <c r="J8" s="74">
        <f>(F8/('📊 Resumen Ejecutivo'!$E$12/1000))</f>
        <v>122900.9009</v>
      </c>
      <c r="K8" s="74">
        <f>(G8/('📊 Resumen Ejecutivo'!$E$13/1000))</f>
        <v>103495.4955</v>
      </c>
      <c r="L8" s="74">
        <f>(H8/('📊 Resumen Ejecutivo'!$E$14/1000))</f>
        <v>21831.08108</v>
      </c>
      <c r="M8" s="74">
        <f>(I8/('📊 Resumen Ejecutivo'!$E$15/1000))</f>
        <v>143461.39</v>
      </c>
    </row>
    <row r="9" ht="18.0" customHeight="1">
      <c r="A9" s="1"/>
      <c r="B9" s="75">
        <v>4.0</v>
      </c>
      <c r="C9" s="76">
        <f t="shared" si="1"/>
        <v>46185</v>
      </c>
      <c r="D9" s="72">
        <v>1.0</v>
      </c>
      <c r="E9" s="77">
        <f>'📊 Resumen Ejecutivo'!$E$6*(D9/SUM($D$6:$D$20))</f>
        <v>2425675.676</v>
      </c>
      <c r="F9" s="36">
        <f>E9*'📊 Resumen Ejecutivo'!$E$8</f>
        <v>921756.7568</v>
      </c>
      <c r="G9" s="36">
        <f>E9*'📊 Resumen Ejecutivo'!$E$9</f>
        <v>776216.2162</v>
      </c>
      <c r="H9" s="36">
        <f>E9*'📊 Resumen Ejecutivo'!$E$10</f>
        <v>169797.2973</v>
      </c>
      <c r="I9" s="36">
        <f>E9*'📊 Resumen Ejecutivo'!$E$11</f>
        <v>557905.4054</v>
      </c>
      <c r="J9" s="78">
        <f>(F9/('📊 Resumen Ejecutivo'!$E$12/1000))</f>
        <v>136556.5566</v>
      </c>
      <c r="K9" s="78">
        <f>(G9/('📊 Resumen Ejecutivo'!$E$13/1000))</f>
        <v>114994.995</v>
      </c>
      <c r="L9" s="78">
        <f>(H9/('📊 Resumen Ejecutivo'!$E$14/1000))</f>
        <v>24256.75676</v>
      </c>
      <c r="M9" s="78">
        <f>(I9/('📊 Resumen Ejecutivo'!$E$15/1000))</f>
        <v>159401.5444</v>
      </c>
    </row>
    <row r="10" ht="18.0" customHeight="1">
      <c r="A10" s="1"/>
      <c r="B10" s="70">
        <v>5.0</v>
      </c>
      <c r="C10" s="79">
        <f t="shared" si="1"/>
        <v>46186</v>
      </c>
      <c r="D10" s="72">
        <v>1.05</v>
      </c>
      <c r="E10" s="73">
        <f>'📊 Resumen Ejecutivo'!$E$6*(D10/SUM($D$6:$D$20))</f>
        <v>2546959.459</v>
      </c>
      <c r="F10" s="32">
        <f>E10*'📊 Resumen Ejecutivo'!$E$8</f>
        <v>967844.5946</v>
      </c>
      <c r="G10" s="32">
        <f>E10*'📊 Resumen Ejecutivo'!$E$9</f>
        <v>815027.027</v>
      </c>
      <c r="H10" s="32">
        <f>E10*'📊 Resumen Ejecutivo'!$E$10</f>
        <v>178287.1622</v>
      </c>
      <c r="I10" s="32">
        <f>E10*'📊 Resumen Ejecutivo'!$E$11</f>
        <v>585800.6757</v>
      </c>
      <c r="J10" s="74">
        <f>(F10/('📊 Resumen Ejecutivo'!$E$12/1000))</f>
        <v>143384.3844</v>
      </c>
      <c r="K10" s="74">
        <f>(G10/('📊 Resumen Ejecutivo'!$E$13/1000))</f>
        <v>120744.7447</v>
      </c>
      <c r="L10" s="74">
        <f>(H10/('📊 Resumen Ejecutivo'!$E$14/1000))</f>
        <v>25469.59459</v>
      </c>
      <c r="M10" s="74">
        <f>(I10/('📊 Resumen Ejecutivo'!$E$15/1000))</f>
        <v>167371.6216</v>
      </c>
    </row>
    <row r="11" ht="18.0" customHeight="1">
      <c r="A11" s="1"/>
      <c r="B11" s="75">
        <v>6.0</v>
      </c>
      <c r="C11" s="76">
        <f t="shared" si="1"/>
        <v>46187</v>
      </c>
      <c r="D11" s="72">
        <v>1.1</v>
      </c>
      <c r="E11" s="77">
        <f>'📊 Resumen Ejecutivo'!$E$6*(D11/SUM($D$6:$D$20))</f>
        <v>2668243.243</v>
      </c>
      <c r="F11" s="36">
        <f>E11*'📊 Resumen Ejecutivo'!$E$8</f>
        <v>1013932.432</v>
      </c>
      <c r="G11" s="36">
        <f>E11*'📊 Resumen Ejecutivo'!$E$9</f>
        <v>853837.8378</v>
      </c>
      <c r="H11" s="36">
        <f>E11*'📊 Resumen Ejecutivo'!$E$10</f>
        <v>186777.027</v>
      </c>
      <c r="I11" s="36">
        <f>E11*'📊 Resumen Ejecutivo'!$E$11</f>
        <v>613695.9459</v>
      </c>
      <c r="J11" s="78">
        <f>(F11/('📊 Resumen Ejecutivo'!$E$12/1000))</f>
        <v>150212.2122</v>
      </c>
      <c r="K11" s="78">
        <f>(G11/('📊 Resumen Ejecutivo'!$E$13/1000))</f>
        <v>126494.4945</v>
      </c>
      <c r="L11" s="78">
        <f>(H11/('📊 Resumen Ejecutivo'!$E$14/1000))</f>
        <v>26682.43243</v>
      </c>
      <c r="M11" s="78">
        <f>(I11/('📊 Resumen Ejecutivo'!$E$15/1000))</f>
        <v>175341.6988</v>
      </c>
    </row>
    <row r="12" ht="18.0" customHeight="1">
      <c r="A12" s="1"/>
      <c r="B12" s="70">
        <v>7.0</v>
      </c>
      <c r="C12" s="79">
        <f t="shared" si="1"/>
        <v>46188</v>
      </c>
      <c r="D12" s="72">
        <v>1.2</v>
      </c>
      <c r="E12" s="73">
        <f>'📊 Resumen Ejecutivo'!$E$6*(D12/SUM($D$6:$D$20))</f>
        <v>2910810.811</v>
      </c>
      <c r="F12" s="32">
        <f>E12*'📊 Resumen Ejecutivo'!$E$8</f>
        <v>1106108.108</v>
      </c>
      <c r="G12" s="32">
        <f>E12*'📊 Resumen Ejecutivo'!$E$9</f>
        <v>931459.4595</v>
      </c>
      <c r="H12" s="32">
        <f>E12*'📊 Resumen Ejecutivo'!$E$10</f>
        <v>203756.7568</v>
      </c>
      <c r="I12" s="32">
        <f>E12*'📊 Resumen Ejecutivo'!$E$11</f>
        <v>669486.4865</v>
      </c>
      <c r="J12" s="74">
        <f>(F12/('📊 Resumen Ejecutivo'!$E$12/1000))</f>
        <v>163867.8679</v>
      </c>
      <c r="K12" s="74">
        <f>(G12/('📊 Resumen Ejecutivo'!$E$13/1000))</f>
        <v>137993.994</v>
      </c>
      <c r="L12" s="74">
        <f>(H12/('📊 Resumen Ejecutivo'!$E$14/1000))</f>
        <v>29108.10811</v>
      </c>
      <c r="M12" s="74">
        <f>(I12/('📊 Resumen Ejecutivo'!$E$15/1000))</f>
        <v>191281.8533</v>
      </c>
    </row>
    <row r="13" ht="18.0" customHeight="1">
      <c r="A13" s="1"/>
      <c r="B13" s="75">
        <v>8.0</v>
      </c>
      <c r="C13" s="76">
        <f t="shared" si="1"/>
        <v>46189</v>
      </c>
      <c r="D13" s="72">
        <v>1.2</v>
      </c>
      <c r="E13" s="77">
        <f>'📊 Resumen Ejecutivo'!$E$6*(D13/SUM($D$6:$D$20))</f>
        <v>2910810.811</v>
      </c>
      <c r="F13" s="36">
        <f>E13*'📊 Resumen Ejecutivo'!$E$8</f>
        <v>1106108.108</v>
      </c>
      <c r="G13" s="36">
        <f>E13*'📊 Resumen Ejecutivo'!$E$9</f>
        <v>931459.4595</v>
      </c>
      <c r="H13" s="36">
        <f>E13*'📊 Resumen Ejecutivo'!$E$10</f>
        <v>203756.7568</v>
      </c>
      <c r="I13" s="36">
        <f>E13*'📊 Resumen Ejecutivo'!$E$11</f>
        <v>669486.4865</v>
      </c>
      <c r="J13" s="78">
        <f>(F13/('📊 Resumen Ejecutivo'!$E$12/1000))</f>
        <v>163867.8679</v>
      </c>
      <c r="K13" s="78">
        <f>(G13/('📊 Resumen Ejecutivo'!$E$13/1000))</f>
        <v>137993.994</v>
      </c>
      <c r="L13" s="78">
        <f>(H13/('📊 Resumen Ejecutivo'!$E$14/1000))</f>
        <v>29108.10811</v>
      </c>
      <c r="M13" s="78">
        <f>(I13/('📊 Resumen Ejecutivo'!$E$15/1000))</f>
        <v>191281.8533</v>
      </c>
    </row>
    <row r="14" ht="18.0" customHeight="1">
      <c r="A14" s="1"/>
      <c r="B14" s="70">
        <v>9.0</v>
      </c>
      <c r="C14" s="79">
        <f t="shared" si="1"/>
        <v>46190</v>
      </c>
      <c r="D14" s="72">
        <v>1.1</v>
      </c>
      <c r="E14" s="73">
        <f>'📊 Resumen Ejecutivo'!$E$6*(D14/SUM($D$6:$D$20))</f>
        <v>2668243.243</v>
      </c>
      <c r="F14" s="32">
        <f>E14*'📊 Resumen Ejecutivo'!$E$8</f>
        <v>1013932.432</v>
      </c>
      <c r="G14" s="32">
        <f>E14*'📊 Resumen Ejecutivo'!$E$9</f>
        <v>853837.8378</v>
      </c>
      <c r="H14" s="32">
        <f>E14*'📊 Resumen Ejecutivo'!$E$10</f>
        <v>186777.027</v>
      </c>
      <c r="I14" s="32">
        <f>E14*'📊 Resumen Ejecutivo'!$E$11</f>
        <v>613695.9459</v>
      </c>
      <c r="J14" s="74">
        <f>(F14/('📊 Resumen Ejecutivo'!$E$12/1000))</f>
        <v>150212.2122</v>
      </c>
      <c r="K14" s="74">
        <f>(G14/('📊 Resumen Ejecutivo'!$E$13/1000))</f>
        <v>126494.4945</v>
      </c>
      <c r="L14" s="74">
        <f>(H14/('📊 Resumen Ejecutivo'!$E$14/1000))</f>
        <v>26682.43243</v>
      </c>
      <c r="M14" s="74">
        <f>(I14/('📊 Resumen Ejecutivo'!$E$15/1000))</f>
        <v>175341.6988</v>
      </c>
    </row>
    <row r="15" ht="18.0" customHeight="1">
      <c r="A15" s="1"/>
      <c r="B15" s="75">
        <v>10.0</v>
      </c>
      <c r="C15" s="76">
        <f t="shared" si="1"/>
        <v>46191</v>
      </c>
      <c r="D15" s="72">
        <v>1.1</v>
      </c>
      <c r="E15" s="77">
        <f>'📊 Resumen Ejecutivo'!$E$6*(D15/SUM($D$6:$D$20))</f>
        <v>2668243.243</v>
      </c>
      <c r="F15" s="36">
        <f>E15*'📊 Resumen Ejecutivo'!$E$8</f>
        <v>1013932.432</v>
      </c>
      <c r="G15" s="36">
        <f>E15*'📊 Resumen Ejecutivo'!$E$9</f>
        <v>853837.8378</v>
      </c>
      <c r="H15" s="36">
        <f>E15*'📊 Resumen Ejecutivo'!$E$10</f>
        <v>186777.027</v>
      </c>
      <c r="I15" s="36">
        <f>E15*'📊 Resumen Ejecutivo'!$E$11</f>
        <v>613695.9459</v>
      </c>
      <c r="J15" s="78">
        <f>(F15/('📊 Resumen Ejecutivo'!$E$12/1000))</f>
        <v>150212.2122</v>
      </c>
      <c r="K15" s="78">
        <f>(G15/('📊 Resumen Ejecutivo'!$E$13/1000))</f>
        <v>126494.4945</v>
      </c>
      <c r="L15" s="78">
        <f>(H15/('📊 Resumen Ejecutivo'!$E$14/1000))</f>
        <v>26682.43243</v>
      </c>
      <c r="M15" s="78">
        <f>(I15/('📊 Resumen Ejecutivo'!$E$15/1000))</f>
        <v>175341.6988</v>
      </c>
    </row>
    <row r="16" ht="18.0" customHeight="1">
      <c r="A16" s="1"/>
      <c r="B16" s="70">
        <v>11.0</v>
      </c>
      <c r="C16" s="79">
        <f t="shared" si="1"/>
        <v>46192</v>
      </c>
      <c r="D16" s="80">
        <v>1.5</v>
      </c>
      <c r="E16" s="73">
        <f>'📊 Resumen Ejecutivo'!$E$6*(D16/SUM($D$6:$D$20))</f>
        <v>3638513.514</v>
      </c>
      <c r="F16" s="32">
        <f>E16*'📊 Resumen Ejecutivo'!$E$8</f>
        <v>1382635.135</v>
      </c>
      <c r="G16" s="32">
        <f>E16*'📊 Resumen Ejecutivo'!$E$9</f>
        <v>1164324.324</v>
      </c>
      <c r="H16" s="32">
        <f>E16*'📊 Resumen Ejecutivo'!$E$10</f>
        <v>254695.9459</v>
      </c>
      <c r="I16" s="32">
        <f>E16*'📊 Resumen Ejecutivo'!$E$11</f>
        <v>836858.1081</v>
      </c>
      <c r="J16" s="74">
        <f>(F16/('📊 Resumen Ejecutivo'!$E$12/1000))</f>
        <v>204834.8348</v>
      </c>
      <c r="K16" s="74">
        <f>(G16/('📊 Resumen Ejecutivo'!$E$13/1000))</f>
        <v>172492.4925</v>
      </c>
      <c r="L16" s="74">
        <f>(H16/('📊 Resumen Ejecutivo'!$E$14/1000))</f>
        <v>36385.13514</v>
      </c>
      <c r="M16" s="74">
        <f>(I16/('📊 Resumen Ejecutivo'!$E$15/1000))</f>
        <v>239102.3166</v>
      </c>
    </row>
    <row r="17" ht="18.0" customHeight="1">
      <c r="A17" s="1"/>
      <c r="B17" s="75">
        <v>12.0</v>
      </c>
      <c r="C17" s="76">
        <f t="shared" si="1"/>
        <v>46193</v>
      </c>
      <c r="D17" s="80">
        <v>2.5</v>
      </c>
      <c r="E17" s="77">
        <f>'📊 Resumen Ejecutivo'!$E$6*(D17/SUM($D$6:$D$20))</f>
        <v>6064189.189</v>
      </c>
      <c r="F17" s="36">
        <f>E17*'📊 Resumen Ejecutivo'!$E$8</f>
        <v>2304391.892</v>
      </c>
      <c r="G17" s="36">
        <f>E17*'📊 Resumen Ejecutivo'!$E$9</f>
        <v>1940540.541</v>
      </c>
      <c r="H17" s="36">
        <f>E17*'📊 Resumen Ejecutivo'!$E$10</f>
        <v>424493.2432</v>
      </c>
      <c r="I17" s="36">
        <f>E17*'📊 Resumen Ejecutivo'!$E$11</f>
        <v>1394763.514</v>
      </c>
      <c r="J17" s="78">
        <f>(F17/('📊 Resumen Ejecutivo'!$E$12/1000))</f>
        <v>341391.3914</v>
      </c>
      <c r="K17" s="78">
        <f>(G17/('📊 Resumen Ejecutivo'!$E$13/1000))</f>
        <v>287487.4875</v>
      </c>
      <c r="L17" s="78">
        <f>(H17/('📊 Resumen Ejecutivo'!$E$14/1000))</f>
        <v>60641.89189</v>
      </c>
      <c r="M17" s="78">
        <f>(I17/('📊 Resumen Ejecutivo'!$E$15/1000))</f>
        <v>398503.861</v>
      </c>
    </row>
    <row r="18" ht="18.0" customHeight="1">
      <c r="A18" s="1"/>
      <c r="B18" s="70">
        <v>13.0</v>
      </c>
      <c r="C18" s="79">
        <f t="shared" si="1"/>
        <v>46194</v>
      </c>
      <c r="D18" s="80">
        <v>2.5</v>
      </c>
      <c r="E18" s="73">
        <f>'📊 Resumen Ejecutivo'!$E$6*(D18/SUM($D$6:$D$20))</f>
        <v>6064189.189</v>
      </c>
      <c r="F18" s="32">
        <f>E18*'📊 Resumen Ejecutivo'!$E$8</f>
        <v>2304391.892</v>
      </c>
      <c r="G18" s="32">
        <f>E18*'📊 Resumen Ejecutivo'!$E$9</f>
        <v>1940540.541</v>
      </c>
      <c r="H18" s="32">
        <f>E18*'📊 Resumen Ejecutivo'!$E$10</f>
        <v>424493.2432</v>
      </c>
      <c r="I18" s="32">
        <f>E18*'📊 Resumen Ejecutivo'!$E$11</f>
        <v>1394763.514</v>
      </c>
      <c r="J18" s="74">
        <f>(F18/('📊 Resumen Ejecutivo'!$E$12/1000))</f>
        <v>341391.3914</v>
      </c>
      <c r="K18" s="74">
        <f>(G18/('📊 Resumen Ejecutivo'!$E$13/1000))</f>
        <v>287487.4875</v>
      </c>
      <c r="L18" s="74">
        <f>(H18/('📊 Resumen Ejecutivo'!$E$14/1000))</f>
        <v>60641.89189</v>
      </c>
      <c r="M18" s="74">
        <f>(I18/('📊 Resumen Ejecutivo'!$E$15/1000))</f>
        <v>398503.861</v>
      </c>
    </row>
    <row r="19" ht="18.0" customHeight="1">
      <c r="A19" s="1"/>
      <c r="B19" s="75">
        <v>14.0</v>
      </c>
      <c r="C19" s="76">
        <f t="shared" si="1"/>
        <v>46195</v>
      </c>
      <c r="D19" s="72">
        <v>1.15</v>
      </c>
      <c r="E19" s="77">
        <f>'📊 Resumen Ejecutivo'!$E$6*(D19/SUM($D$6:$D$20))</f>
        <v>2789527.027</v>
      </c>
      <c r="F19" s="36">
        <f>E19*'📊 Resumen Ejecutivo'!$E$8</f>
        <v>1060020.27</v>
      </c>
      <c r="G19" s="36">
        <f>E19*'📊 Resumen Ejecutivo'!$E$9</f>
        <v>892648.6486</v>
      </c>
      <c r="H19" s="36">
        <f>E19*'📊 Resumen Ejecutivo'!$E$10</f>
        <v>195266.8919</v>
      </c>
      <c r="I19" s="36">
        <f>E19*'📊 Resumen Ejecutivo'!$E$11</f>
        <v>641591.2162</v>
      </c>
      <c r="J19" s="78">
        <f>(F19/('📊 Resumen Ejecutivo'!$E$12/1000))</f>
        <v>157040.04</v>
      </c>
      <c r="K19" s="78">
        <f>(G19/('📊 Resumen Ejecutivo'!$E$13/1000))</f>
        <v>132244.2442</v>
      </c>
      <c r="L19" s="78">
        <f>(H19/('📊 Resumen Ejecutivo'!$E$14/1000))</f>
        <v>27895.27027</v>
      </c>
      <c r="M19" s="78">
        <f>(I19/('📊 Resumen Ejecutivo'!$E$15/1000))</f>
        <v>183311.7761</v>
      </c>
    </row>
    <row r="20" ht="18.0" customHeight="1">
      <c r="A20" s="1"/>
      <c r="B20" s="70">
        <v>15.0</v>
      </c>
      <c r="C20" s="79">
        <f t="shared" si="1"/>
        <v>46196</v>
      </c>
      <c r="D20" s="72">
        <v>0.7</v>
      </c>
      <c r="E20" s="73">
        <f>'📊 Resumen Ejecutivo'!$E$6*(D20/SUM($D$6:$D$20))</f>
        <v>1697972.973</v>
      </c>
      <c r="F20" s="32">
        <f>E20*'📊 Resumen Ejecutivo'!$E$8</f>
        <v>645229.7297</v>
      </c>
      <c r="G20" s="32">
        <f>E20*'📊 Resumen Ejecutivo'!$E$9</f>
        <v>543351.3514</v>
      </c>
      <c r="H20" s="32">
        <f>E20*'📊 Resumen Ejecutivo'!$E$10</f>
        <v>118858.1081</v>
      </c>
      <c r="I20" s="32">
        <f>E20*'📊 Resumen Ejecutivo'!$E$11</f>
        <v>390533.7838</v>
      </c>
      <c r="J20" s="74">
        <f>(F20/('📊 Resumen Ejecutivo'!$E$12/1000))</f>
        <v>95589.58959</v>
      </c>
      <c r="K20" s="74">
        <f>(G20/('📊 Resumen Ejecutivo'!$E$13/1000))</f>
        <v>80496.4965</v>
      </c>
      <c r="L20" s="74">
        <f>(H20/('📊 Resumen Ejecutivo'!$E$14/1000))</f>
        <v>16979.72973</v>
      </c>
      <c r="M20" s="74">
        <f>(I20/('📊 Resumen Ejecutivo'!$E$15/1000))</f>
        <v>111581.0811</v>
      </c>
    </row>
    <row r="21" ht="21.75" customHeight="1">
      <c r="A21" s="1"/>
      <c r="B21" s="81" t="s">
        <v>47</v>
      </c>
      <c r="C21" s="82" t="s">
        <v>80</v>
      </c>
      <c r="D21" s="83">
        <f t="shared" ref="D21:M21" si="2">SUM(D6:D20)</f>
        <v>18.5</v>
      </c>
      <c r="E21" s="56">
        <f t="shared" si="2"/>
        <v>44875000</v>
      </c>
      <c r="F21" s="56">
        <f t="shared" si="2"/>
        <v>17052500</v>
      </c>
      <c r="G21" s="56">
        <f t="shared" si="2"/>
        <v>14360000</v>
      </c>
      <c r="H21" s="56">
        <f t="shared" si="2"/>
        <v>3141250</v>
      </c>
      <c r="I21" s="56">
        <f t="shared" si="2"/>
        <v>10321250</v>
      </c>
      <c r="J21" s="56">
        <f t="shared" si="2"/>
        <v>2526296.296</v>
      </c>
      <c r="K21" s="56">
        <f t="shared" si="2"/>
        <v>2127407.407</v>
      </c>
      <c r="L21" s="56">
        <f t="shared" si="2"/>
        <v>448750</v>
      </c>
      <c r="M21" s="56">
        <f t="shared" si="2"/>
        <v>2948928.571</v>
      </c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15.75" customHeight="1">
      <c r="A23" s="1"/>
      <c r="B23" s="43" t="s">
        <v>81</v>
      </c>
    </row>
    <row r="24" ht="13.5" customHeight="1">
      <c r="A24" s="1"/>
      <c r="B24" s="43" t="s">
        <v>82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">
    <mergeCell ref="B2:L2"/>
    <mergeCell ref="B3:L3"/>
    <mergeCell ref="B23:M2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5.0" topLeftCell="C16" activePane="bottomRight" state="frozen"/>
      <selection activeCell="C1" sqref="C1" pane="topRight"/>
      <selection activeCell="A16" sqref="A16" pane="bottomLeft"/>
      <selection activeCell="C16" sqref="C16" pane="bottomRight"/>
    </sheetView>
  </sheetViews>
  <sheetFormatPr customHeight="1" defaultColWidth="14.43" defaultRowHeight="15.0"/>
  <cols>
    <col customWidth="1" min="1" max="1" width="3.0"/>
    <col customWidth="1" min="2" max="2" width="18.0"/>
    <col customWidth="1" min="3" max="10" width="14.0"/>
    <col customWidth="1" min="11" max="11" width="51.29"/>
  </cols>
  <sheetData>
    <row r="1" ht="7.5" customHeight="1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44" t="s">
        <v>84</v>
      </c>
      <c r="C2" s="3"/>
      <c r="D2" s="3"/>
      <c r="E2" s="3"/>
      <c r="F2" s="3"/>
      <c r="G2" s="3"/>
      <c r="H2" s="3"/>
      <c r="I2" s="3"/>
      <c r="J2" s="3"/>
      <c r="K2" s="1"/>
    </row>
    <row r="3" ht="15.75" customHeight="1">
      <c r="A3" s="1"/>
      <c r="B3" s="45" t="s">
        <v>85</v>
      </c>
      <c r="C3" s="3"/>
      <c r="D3" s="3"/>
      <c r="E3" s="3"/>
      <c r="F3" s="3"/>
      <c r="G3" s="3"/>
      <c r="H3" s="3"/>
      <c r="I3" s="3"/>
      <c r="J3" s="3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1.75" customHeight="1">
      <c r="A5" s="1"/>
      <c r="B5" s="5" t="s">
        <v>86</v>
      </c>
      <c r="C5" s="3"/>
      <c r="D5" s="3"/>
      <c r="E5" s="3"/>
      <c r="F5" s="3"/>
      <c r="G5" s="3"/>
      <c r="H5" s="3"/>
      <c r="I5" s="3"/>
      <c r="J5" s="3"/>
      <c r="K5" s="1"/>
    </row>
    <row r="6" ht="19.5" customHeight="1">
      <c r="A6" s="1"/>
      <c r="B6" s="21" t="s">
        <v>25</v>
      </c>
      <c r="C6" s="21" t="s">
        <v>87</v>
      </c>
      <c r="D6" s="21" t="s">
        <v>43</v>
      </c>
      <c r="E6" s="21" t="s">
        <v>19</v>
      </c>
      <c r="F6" s="21" t="s">
        <v>88</v>
      </c>
      <c r="G6" s="21" t="s">
        <v>20</v>
      </c>
      <c r="H6" s="21" t="s">
        <v>89</v>
      </c>
      <c r="I6" s="21" t="s">
        <v>90</v>
      </c>
      <c r="J6" s="21" t="s">
        <v>91</v>
      </c>
      <c r="K6" s="1"/>
    </row>
    <row r="7" ht="19.5" customHeight="1">
      <c r="A7" s="1"/>
      <c r="B7" s="46" t="s">
        <v>32</v>
      </c>
      <c r="C7" s="73">
        <f>'📊 Resumen Ejecutivo'!$E$6*'📊 Resumen Ejecutivo'!$E$8</f>
        <v>17052500</v>
      </c>
      <c r="D7" s="73">
        <f>'📊 Resumen Ejecutivo'!$E$12</f>
        <v>6750</v>
      </c>
      <c r="E7" s="32">
        <f t="shared" ref="E7:E10" si="1">(C7/(D7/1000))</f>
        <v>2526296.296</v>
      </c>
      <c r="F7" s="84">
        <f>'📊 Resumen Ejecutivo'!$E$16</f>
        <v>0.017</v>
      </c>
      <c r="G7" s="32">
        <f t="shared" ref="G7:G10" si="2">E7*F7</f>
        <v>42947.03704</v>
      </c>
      <c r="H7" s="32">
        <f t="shared" ref="H7:H11" si="3">IF(G7&gt;0,C7/G7,0)</f>
        <v>397.0588235</v>
      </c>
      <c r="I7" s="85">
        <v>1.4</v>
      </c>
      <c r="J7" s="32">
        <f t="shared" ref="J7:J10" si="4">IF(I7&gt;0,E7/I7,0)</f>
        <v>1804497.354</v>
      </c>
      <c r="K7" s="1"/>
    </row>
    <row r="8" ht="19.5" customHeight="1">
      <c r="A8" s="1"/>
      <c r="B8" s="50" t="s">
        <v>33</v>
      </c>
      <c r="C8" s="77">
        <f>'📊 Resumen Ejecutivo'!$E$6*'📊 Resumen Ejecutivo'!$E$9</f>
        <v>14360000</v>
      </c>
      <c r="D8" s="77">
        <f>'📊 Resumen Ejecutivo'!$E$13</f>
        <v>6750</v>
      </c>
      <c r="E8" s="36">
        <f t="shared" si="1"/>
        <v>2127407.407</v>
      </c>
      <c r="F8" s="86">
        <f>'📊 Resumen Ejecutivo'!$E$17</f>
        <v>0.017</v>
      </c>
      <c r="G8" s="36">
        <f t="shared" si="2"/>
        <v>36165.92593</v>
      </c>
      <c r="H8" s="36">
        <f t="shared" si="3"/>
        <v>397.0588235</v>
      </c>
      <c r="I8" s="87">
        <v>1.6</v>
      </c>
      <c r="J8" s="36">
        <f t="shared" si="4"/>
        <v>1329629.63</v>
      </c>
      <c r="K8" s="1"/>
    </row>
    <row r="9" ht="19.5" customHeight="1">
      <c r="A9" s="1"/>
      <c r="B9" s="52" t="s">
        <v>34</v>
      </c>
      <c r="C9" s="73">
        <f>'📊 Resumen Ejecutivo'!$E$6*'📊 Resumen Ejecutivo'!$E$10</f>
        <v>3141250</v>
      </c>
      <c r="D9" s="73">
        <f>'📊 Resumen Ejecutivo'!$E$14</f>
        <v>7000</v>
      </c>
      <c r="E9" s="32">
        <f t="shared" si="1"/>
        <v>448750</v>
      </c>
      <c r="F9" s="84">
        <f>'📊 Resumen Ejecutivo'!$E$18</f>
        <v>0.075</v>
      </c>
      <c r="G9" s="32">
        <f t="shared" si="2"/>
        <v>33656.25</v>
      </c>
      <c r="H9" s="32">
        <f t="shared" si="3"/>
        <v>93.33333333</v>
      </c>
      <c r="I9" s="85">
        <v>1.3</v>
      </c>
      <c r="J9" s="32">
        <f t="shared" si="4"/>
        <v>345192.3077</v>
      </c>
      <c r="K9" s="1"/>
    </row>
    <row r="10" ht="19.5" customHeight="1">
      <c r="A10" s="1"/>
      <c r="B10" s="53" t="s">
        <v>35</v>
      </c>
      <c r="C10" s="77">
        <f>'📊 Resumen Ejecutivo'!$E$6*'📊 Resumen Ejecutivo'!$E$11</f>
        <v>10321250</v>
      </c>
      <c r="D10" s="77">
        <f>'📊 Resumen Ejecutivo'!$E$15</f>
        <v>3500</v>
      </c>
      <c r="E10" s="36">
        <f t="shared" si="1"/>
        <v>2948928.571</v>
      </c>
      <c r="F10" s="86">
        <f>'📊 Resumen Ejecutivo'!$E$19</f>
        <v>0.008</v>
      </c>
      <c r="G10" s="36">
        <f t="shared" si="2"/>
        <v>23591.42857</v>
      </c>
      <c r="H10" s="36">
        <f t="shared" si="3"/>
        <v>437.5</v>
      </c>
      <c r="I10" s="87">
        <v>2.0</v>
      </c>
      <c r="J10" s="36">
        <f t="shared" si="4"/>
        <v>1474464.286</v>
      </c>
      <c r="K10" s="1"/>
    </row>
    <row r="11" ht="21.75" customHeight="1">
      <c r="A11" s="1"/>
      <c r="B11" s="54" t="s">
        <v>47</v>
      </c>
      <c r="C11" s="56">
        <f>SUM(C7:C10)</f>
        <v>44875000</v>
      </c>
      <c r="D11" s="56">
        <f>('📊 Resumen Ejecutivo'!$E$8*D7+'📊 Resumen Ejecutivo'!$E$9*D8+'📊 Resumen Ejecutivo'!$E$10*D9+'📊 Resumen Ejecutivo'!$E$11*D10)/('📊 Resumen Ejecutivo'!$E$8+'📊 Resumen Ejecutivo'!$E$9+'📊 Resumen Ejecutivo'!$E$10+'📊 Resumen Ejecutivo'!$E$11)</f>
        <v>6020</v>
      </c>
      <c r="E11" s="56">
        <f>SUM(E7:E10)</f>
        <v>8051382.275</v>
      </c>
      <c r="F11" s="57">
        <f>IF(E11&gt;0,G11/E11,0)</f>
        <v>0.01693630198</v>
      </c>
      <c r="G11" s="56">
        <f>SUM(G7:G10)</f>
        <v>136360.6415</v>
      </c>
      <c r="H11" s="56">
        <f t="shared" si="3"/>
        <v>329.0905608</v>
      </c>
      <c r="I11" s="54" t="s">
        <v>92</v>
      </c>
      <c r="J11" s="56">
        <f>SUM(J7:J10)</f>
        <v>4953783.578</v>
      </c>
      <c r="K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ht="7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ht="21.75" customHeight="1">
      <c r="A14" s="1"/>
      <c r="B14" s="5" t="s">
        <v>93</v>
      </c>
      <c r="C14" s="3"/>
      <c r="D14" s="3"/>
      <c r="E14" s="3"/>
      <c r="F14" s="3"/>
      <c r="G14" s="3"/>
      <c r="H14" s="3"/>
      <c r="I14" s="3"/>
      <c r="J14" s="3"/>
      <c r="K14" s="1"/>
    </row>
    <row r="15" ht="19.5" customHeight="1">
      <c r="A15" s="1"/>
      <c r="B15" s="21" t="s">
        <v>68</v>
      </c>
      <c r="C15" s="21" t="s">
        <v>94</v>
      </c>
      <c r="D15" s="21" t="s">
        <v>95</v>
      </c>
      <c r="E15" s="69" t="s">
        <v>96</v>
      </c>
      <c r="F15" s="69" t="s">
        <v>97</v>
      </c>
      <c r="G15" s="69" t="s">
        <v>98</v>
      </c>
      <c r="H15" s="69" t="s">
        <v>99</v>
      </c>
      <c r="I15" s="21" t="s">
        <v>100</v>
      </c>
      <c r="J15" s="21" t="s">
        <v>101</v>
      </c>
      <c r="K15" s="1"/>
    </row>
    <row r="16" ht="18.0" customHeight="1">
      <c r="A16" s="1"/>
      <c r="B16" s="70">
        <v>1.0</v>
      </c>
      <c r="C16" s="88">
        <f>'📅 Desglose Diario'!C6</f>
        <v>46182</v>
      </c>
      <c r="D16" s="32">
        <f>'📅 Desglose Diario'!E6</f>
        <v>1697972.973</v>
      </c>
      <c r="E16" s="32">
        <f>('📅 Desglose Diario'!F6/('📊 Resumen Ejecutivo'!$E$12/1000))</f>
        <v>95589.58959</v>
      </c>
      <c r="F16" s="32">
        <f>('📅 Desglose Diario'!G6/('📊 Resumen Ejecutivo'!$E$13/1000))</f>
        <v>80496.4965</v>
      </c>
      <c r="G16" s="32">
        <f>('📅 Desglose Diario'!H6/('📊 Resumen Ejecutivo'!$E$14/1000))</f>
        <v>16979.72973</v>
      </c>
      <c r="H16" s="32">
        <f>('📅 Desglose Diario'!I6/('📊 Resumen Ejecutivo'!$E$15/1000))</f>
        <v>111581.0811</v>
      </c>
      <c r="I16" s="73">
        <f t="shared" ref="I16:I30" si="5">SUM(E16:H16)</f>
        <v>304646.8969</v>
      </c>
      <c r="J16" s="73">
        <f>E16*'📊 Resumen Ejecutivo'!$E$16+F16*'📊 Resumen Ejecutivo'!$E$17+G16*'📊 Resumen Ejecutivo'!$E$18+H16*'📊 Resumen Ejecutivo'!$E$19</f>
        <v>5159.591842</v>
      </c>
      <c r="K16" s="1"/>
    </row>
    <row r="17" ht="18.0" customHeight="1">
      <c r="A17" s="1"/>
      <c r="B17" s="75">
        <v>2.0</v>
      </c>
      <c r="C17" s="89">
        <f>'📅 Desglose Diario'!C7</f>
        <v>46183</v>
      </c>
      <c r="D17" s="36">
        <f>'📅 Desglose Diario'!E7</f>
        <v>1940540.541</v>
      </c>
      <c r="E17" s="36">
        <f>('📅 Desglose Diario'!F7/('📊 Resumen Ejecutivo'!$E$12/1000))</f>
        <v>109245.2452</v>
      </c>
      <c r="F17" s="36">
        <f>('📅 Desglose Diario'!G7/('📊 Resumen Ejecutivo'!$E$13/1000))</f>
        <v>91995.996</v>
      </c>
      <c r="G17" s="36">
        <f>('📅 Desglose Diario'!H7/('📊 Resumen Ejecutivo'!$E$14/1000))</f>
        <v>19405.40541</v>
      </c>
      <c r="H17" s="36">
        <f>('📅 Desglose Diario'!I7/('📊 Resumen Ejecutivo'!$E$15/1000))</f>
        <v>127521.2355</v>
      </c>
      <c r="I17" s="77">
        <f t="shared" si="5"/>
        <v>348167.8822</v>
      </c>
      <c r="J17" s="77">
        <f>E17*'📊 Resumen Ejecutivo'!$E$16+F17*'📊 Resumen Ejecutivo'!$E$17+G17*'📊 Resumen Ejecutivo'!$E$18+H17*'📊 Resumen Ejecutivo'!$E$19</f>
        <v>5896.676391</v>
      </c>
      <c r="K17" s="1"/>
    </row>
    <row r="18" ht="18.0" customHeight="1">
      <c r="A18" s="1"/>
      <c r="B18" s="70">
        <v>3.0</v>
      </c>
      <c r="C18" s="88">
        <f>'📅 Desglose Diario'!C8</f>
        <v>46184</v>
      </c>
      <c r="D18" s="32">
        <f>'📅 Desglose Diario'!E8</f>
        <v>2183108.108</v>
      </c>
      <c r="E18" s="32">
        <f>('📅 Desglose Diario'!F8/('📊 Resumen Ejecutivo'!$E$12/1000))</f>
        <v>122900.9009</v>
      </c>
      <c r="F18" s="32">
        <f>('📅 Desglose Diario'!G8/('📊 Resumen Ejecutivo'!$E$13/1000))</f>
        <v>103495.4955</v>
      </c>
      <c r="G18" s="32">
        <f>('📅 Desglose Diario'!H8/('📊 Resumen Ejecutivo'!$E$14/1000))</f>
        <v>21831.08108</v>
      </c>
      <c r="H18" s="32">
        <f>('📅 Desglose Diario'!I8/('📊 Resumen Ejecutivo'!$E$15/1000))</f>
        <v>143461.39</v>
      </c>
      <c r="I18" s="73">
        <f t="shared" si="5"/>
        <v>391688.8674</v>
      </c>
      <c r="J18" s="73">
        <f>E18*'📊 Resumen Ejecutivo'!$E$16+F18*'📊 Resumen Ejecutivo'!$E$17+G18*'📊 Resumen Ejecutivo'!$E$18+H18*'📊 Resumen Ejecutivo'!$E$19</f>
        <v>6633.76094</v>
      </c>
      <c r="K18" s="1"/>
    </row>
    <row r="19" ht="18.0" customHeight="1">
      <c r="A19" s="1"/>
      <c r="B19" s="75">
        <v>4.0</v>
      </c>
      <c r="C19" s="89">
        <f>'📅 Desglose Diario'!C9</f>
        <v>46185</v>
      </c>
      <c r="D19" s="36">
        <f>'📅 Desglose Diario'!E9</f>
        <v>2425675.676</v>
      </c>
      <c r="E19" s="36">
        <f>('📅 Desglose Diario'!F9/('📊 Resumen Ejecutivo'!$E$12/1000))</f>
        <v>136556.5566</v>
      </c>
      <c r="F19" s="36">
        <f>('📅 Desglose Diario'!G9/('📊 Resumen Ejecutivo'!$E$13/1000))</f>
        <v>114994.995</v>
      </c>
      <c r="G19" s="36">
        <f>('📅 Desglose Diario'!H9/('📊 Resumen Ejecutivo'!$E$14/1000))</f>
        <v>24256.75676</v>
      </c>
      <c r="H19" s="36">
        <f>('📅 Desglose Diario'!I9/('📊 Resumen Ejecutivo'!$E$15/1000))</f>
        <v>159401.5444</v>
      </c>
      <c r="I19" s="77">
        <f t="shared" si="5"/>
        <v>435209.8527</v>
      </c>
      <c r="J19" s="77">
        <f>E19*'📊 Resumen Ejecutivo'!$E$16+F19*'📊 Resumen Ejecutivo'!$E$17+G19*'📊 Resumen Ejecutivo'!$E$18+H19*'📊 Resumen Ejecutivo'!$E$19</f>
        <v>7370.845488</v>
      </c>
      <c r="K19" s="1"/>
    </row>
    <row r="20" ht="18.0" customHeight="1">
      <c r="A20" s="1"/>
      <c r="B20" s="70">
        <v>5.0</v>
      </c>
      <c r="C20" s="88">
        <f>'📅 Desglose Diario'!C10</f>
        <v>46186</v>
      </c>
      <c r="D20" s="32">
        <f>'📅 Desglose Diario'!E10</f>
        <v>2546959.459</v>
      </c>
      <c r="E20" s="32">
        <f>('📅 Desglose Diario'!F10/('📊 Resumen Ejecutivo'!$E$12/1000))</f>
        <v>143384.3844</v>
      </c>
      <c r="F20" s="32">
        <f>('📅 Desglose Diario'!G10/('📊 Resumen Ejecutivo'!$E$13/1000))</f>
        <v>120744.7447</v>
      </c>
      <c r="G20" s="32">
        <f>('📅 Desglose Diario'!H10/('📊 Resumen Ejecutivo'!$E$14/1000))</f>
        <v>25469.59459</v>
      </c>
      <c r="H20" s="32">
        <f>('📅 Desglose Diario'!I10/('📊 Resumen Ejecutivo'!$E$15/1000))</f>
        <v>167371.6216</v>
      </c>
      <c r="I20" s="73">
        <f t="shared" si="5"/>
        <v>456970.3453</v>
      </c>
      <c r="J20" s="73">
        <f>E20*'📊 Resumen Ejecutivo'!$E$16+F20*'📊 Resumen Ejecutivo'!$E$17+G20*'📊 Resumen Ejecutivo'!$E$18+H20*'📊 Resumen Ejecutivo'!$E$19</f>
        <v>7739.387763</v>
      </c>
      <c r="K20" s="1"/>
    </row>
    <row r="21" ht="18.0" customHeight="1">
      <c r="A21" s="1"/>
      <c r="B21" s="75">
        <v>6.0</v>
      </c>
      <c r="C21" s="89">
        <f>'📅 Desglose Diario'!C11</f>
        <v>46187</v>
      </c>
      <c r="D21" s="36">
        <f>'📅 Desglose Diario'!E11</f>
        <v>2668243.243</v>
      </c>
      <c r="E21" s="36">
        <f>('📅 Desglose Diario'!F11/('📊 Resumen Ejecutivo'!$E$12/1000))</f>
        <v>150212.2122</v>
      </c>
      <c r="F21" s="36">
        <f>('📅 Desglose Diario'!G11/('📊 Resumen Ejecutivo'!$E$13/1000))</f>
        <v>126494.4945</v>
      </c>
      <c r="G21" s="36">
        <f>('📅 Desglose Diario'!H11/('📊 Resumen Ejecutivo'!$E$14/1000))</f>
        <v>26682.43243</v>
      </c>
      <c r="H21" s="36">
        <f>('📅 Desglose Diario'!I11/('📊 Resumen Ejecutivo'!$E$15/1000))</f>
        <v>175341.6988</v>
      </c>
      <c r="I21" s="77">
        <f t="shared" si="5"/>
        <v>478730.838</v>
      </c>
      <c r="J21" s="77">
        <f>E21*'📊 Resumen Ejecutivo'!$E$16+F21*'📊 Resumen Ejecutivo'!$E$17+G21*'📊 Resumen Ejecutivo'!$E$18+H21*'📊 Resumen Ejecutivo'!$E$19</f>
        <v>8107.930037</v>
      </c>
      <c r="K21" s="1"/>
    </row>
    <row r="22" ht="18.0" customHeight="1">
      <c r="A22" s="1"/>
      <c r="B22" s="70">
        <v>7.0</v>
      </c>
      <c r="C22" s="88">
        <f>'📅 Desglose Diario'!C12</f>
        <v>46188</v>
      </c>
      <c r="D22" s="32">
        <f>'📅 Desglose Diario'!E12</f>
        <v>2910810.811</v>
      </c>
      <c r="E22" s="32">
        <f>('📅 Desglose Diario'!F12/('📊 Resumen Ejecutivo'!$E$12/1000))</f>
        <v>163867.8679</v>
      </c>
      <c r="F22" s="32">
        <f>('📅 Desglose Diario'!G12/('📊 Resumen Ejecutivo'!$E$13/1000))</f>
        <v>137993.994</v>
      </c>
      <c r="G22" s="32">
        <f>('📅 Desglose Diario'!H12/('📊 Resumen Ejecutivo'!$E$14/1000))</f>
        <v>29108.10811</v>
      </c>
      <c r="H22" s="32">
        <f>('📅 Desglose Diario'!I12/('📊 Resumen Ejecutivo'!$E$15/1000))</f>
        <v>191281.8533</v>
      </c>
      <c r="I22" s="73">
        <f t="shared" si="5"/>
        <v>522251.8233</v>
      </c>
      <c r="J22" s="73">
        <f>E22*'📊 Resumen Ejecutivo'!$E$16+F22*'📊 Resumen Ejecutivo'!$E$17+G22*'📊 Resumen Ejecutivo'!$E$18+H22*'📊 Resumen Ejecutivo'!$E$19</f>
        <v>8845.014586</v>
      </c>
      <c r="K22" s="1"/>
    </row>
    <row r="23" ht="18.0" customHeight="1">
      <c r="A23" s="1"/>
      <c r="B23" s="75">
        <v>8.0</v>
      </c>
      <c r="C23" s="89">
        <f>'📅 Desglose Diario'!C13</f>
        <v>46189</v>
      </c>
      <c r="D23" s="36">
        <f>'📅 Desglose Diario'!E13</f>
        <v>2910810.811</v>
      </c>
      <c r="E23" s="36">
        <f>('📅 Desglose Diario'!F13/('📊 Resumen Ejecutivo'!$E$12/1000))</f>
        <v>163867.8679</v>
      </c>
      <c r="F23" s="36">
        <f>('📅 Desglose Diario'!G13/('📊 Resumen Ejecutivo'!$E$13/1000))</f>
        <v>137993.994</v>
      </c>
      <c r="G23" s="36">
        <f>('📅 Desglose Diario'!H13/('📊 Resumen Ejecutivo'!$E$14/1000))</f>
        <v>29108.10811</v>
      </c>
      <c r="H23" s="36">
        <f>('📅 Desglose Diario'!I13/('📊 Resumen Ejecutivo'!$E$15/1000))</f>
        <v>191281.8533</v>
      </c>
      <c r="I23" s="77">
        <f t="shared" si="5"/>
        <v>522251.8233</v>
      </c>
      <c r="J23" s="77">
        <f>E23*'📊 Resumen Ejecutivo'!$E$16+F23*'📊 Resumen Ejecutivo'!$E$17+G23*'📊 Resumen Ejecutivo'!$E$18+H23*'📊 Resumen Ejecutivo'!$E$19</f>
        <v>8845.014586</v>
      </c>
      <c r="K23" s="1"/>
    </row>
    <row r="24" ht="18.0" customHeight="1">
      <c r="A24" s="1"/>
      <c r="B24" s="70">
        <v>9.0</v>
      </c>
      <c r="C24" s="88">
        <f>'📅 Desglose Diario'!C14</f>
        <v>46190</v>
      </c>
      <c r="D24" s="32">
        <f>'📅 Desglose Diario'!E14</f>
        <v>2668243.243</v>
      </c>
      <c r="E24" s="32">
        <f>('📅 Desglose Diario'!F14/('📊 Resumen Ejecutivo'!$E$12/1000))</f>
        <v>150212.2122</v>
      </c>
      <c r="F24" s="32">
        <f>('📅 Desglose Diario'!G14/('📊 Resumen Ejecutivo'!$E$13/1000))</f>
        <v>126494.4945</v>
      </c>
      <c r="G24" s="32">
        <f>('📅 Desglose Diario'!H14/('📊 Resumen Ejecutivo'!$E$14/1000))</f>
        <v>26682.43243</v>
      </c>
      <c r="H24" s="32">
        <f>('📅 Desglose Diario'!I14/('📊 Resumen Ejecutivo'!$E$15/1000))</f>
        <v>175341.6988</v>
      </c>
      <c r="I24" s="73">
        <f t="shared" si="5"/>
        <v>478730.838</v>
      </c>
      <c r="J24" s="73">
        <f>E24*'📊 Resumen Ejecutivo'!$E$16+F24*'📊 Resumen Ejecutivo'!$E$17+G24*'📊 Resumen Ejecutivo'!$E$18+H24*'📊 Resumen Ejecutivo'!$E$19</f>
        <v>8107.930037</v>
      </c>
      <c r="K24" s="1"/>
    </row>
    <row r="25" ht="18.0" customHeight="1">
      <c r="A25" s="1"/>
      <c r="B25" s="75">
        <v>10.0</v>
      </c>
      <c r="C25" s="89">
        <f>'📅 Desglose Diario'!C15</f>
        <v>46191</v>
      </c>
      <c r="D25" s="36">
        <f>'📅 Desglose Diario'!E15</f>
        <v>2668243.243</v>
      </c>
      <c r="E25" s="36">
        <f>('📅 Desglose Diario'!F15/('📊 Resumen Ejecutivo'!$E$12/1000))</f>
        <v>150212.2122</v>
      </c>
      <c r="F25" s="36">
        <f>('📅 Desglose Diario'!G15/('📊 Resumen Ejecutivo'!$E$13/1000))</f>
        <v>126494.4945</v>
      </c>
      <c r="G25" s="36">
        <f>('📅 Desglose Diario'!H15/('📊 Resumen Ejecutivo'!$E$14/1000))</f>
        <v>26682.43243</v>
      </c>
      <c r="H25" s="36">
        <f>('📅 Desglose Diario'!I15/('📊 Resumen Ejecutivo'!$E$15/1000))</f>
        <v>175341.6988</v>
      </c>
      <c r="I25" s="77">
        <f t="shared" si="5"/>
        <v>478730.838</v>
      </c>
      <c r="J25" s="77">
        <f>E25*'📊 Resumen Ejecutivo'!$E$16+F25*'📊 Resumen Ejecutivo'!$E$17+G25*'📊 Resumen Ejecutivo'!$E$18+H25*'📊 Resumen Ejecutivo'!$E$19</f>
        <v>8107.930037</v>
      </c>
      <c r="K25" s="1"/>
    </row>
    <row r="26" ht="18.0" customHeight="1">
      <c r="A26" s="1"/>
      <c r="B26" s="70">
        <v>11.0</v>
      </c>
      <c r="C26" s="88">
        <f>'📅 Desglose Diario'!C16</f>
        <v>46192</v>
      </c>
      <c r="D26" s="32">
        <f>'📅 Desglose Diario'!E16</f>
        <v>3638513.514</v>
      </c>
      <c r="E26" s="32">
        <f>('📅 Desglose Diario'!F16/('📊 Resumen Ejecutivo'!$E$12/1000))</f>
        <v>204834.8348</v>
      </c>
      <c r="F26" s="32">
        <f>('📅 Desglose Diario'!G16/('📊 Resumen Ejecutivo'!$E$13/1000))</f>
        <v>172492.4925</v>
      </c>
      <c r="G26" s="32">
        <f>('📅 Desglose Diario'!H16/('📊 Resumen Ejecutivo'!$E$14/1000))</f>
        <v>36385.13514</v>
      </c>
      <c r="H26" s="32">
        <f>('📅 Desglose Diario'!I16/('📊 Resumen Ejecutivo'!$E$15/1000))</f>
        <v>239102.3166</v>
      </c>
      <c r="I26" s="73">
        <f t="shared" si="5"/>
        <v>652814.7791</v>
      </c>
      <c r="J26" s="73">
        <f>E26*'📊 Resumen Ejecutivo'!$E$16+F26*'📊 Resumen Ejecutivo'!$E$17+G26*'📊 Resumen Ejecutivo'!$E$18+H26*'📊 Resumen Ejecutivo'!$E$19</f>
        <v>11056.26823</v>
      </c>
      <c r="K26" s="1"/>
    </row>
    <row r="27" ht="18.0" customHeight="1">
      <c r="A27" s="1"/>
      <c r="B27" s="75">
        <v>12.0</v>
      </c>
      <c r="C27" s="89">
        <f>'📅 Desglose Diario'!C17</f>
        <v>46193</v>
      </c>
      <c r="D27" s="36">
        <f>'📅 Desglose Diario'!E17</f>
        <v>6064189.189</v>
      </c>
      <c r="E27" s="36">
        <f>('📅 Desglose Diario'!F17/('📊 Resumen Ejecutivo'!$E$12/1000))</f>
        <v>341391.3914</v>
      </c>
      <c r="F27" s="36">
        <f>('📅 Desglose Diario'!G17/('📊 Resumen Ejecutivo'!$E$13/1000))</f>
        <v>287487.4875</v>
      </c>
      <c r="G27" s="36">
        <f>('📅 Desglose Diario'!H17/('📊 Resumen Ejecutivo'!$E$14/1000))</f>
        <v>60641.89189</v>
      </c>
      <c r="H27" s="36">
        <f>('📅 Desglose Diario'!I17/('📊 Resumen Ejecutivo'!$E$15/1000))</f>
        <v>398503.861</v>
      </c>
      <c r="I27" s="77">
        <f t="shared" si="5"/>
        <v>1088024.632</v>
      </c>
      <c r="J27" s="77">
        <f>E27*'📊 Resumen Ejecutivo'!$E$16+F27*'📊 Resumen Ejecutivo'!$E$17+G27*'📊 Resumen Ejecutivo'!$E$18+H27*'📊 Resumen Ejecutivo'!$E$19</f>
        <v>18427.11372</v>
      </c>
      <c r="K27" s="1"/>
    </row>
    <row r="28" ht="18.0" customHeight="1">
      <c r="A28" s="1"/>
      <c r="B28" s="70">
        <v>13.0</v>
      </c>
      <c r="C28" s="88">
        <f>'📅 Desglose Diario'!C18</f>
        <v>46194</v>
      </c>
      <c r="D28" s="32">
        <f>'📅 Desglose Diario'!E18</f>
        <v>6064189.189</v>
      </c>
      <c r="E28" s="32">
        <f>('📅 Desglose Diario'!F18/('📊 Resumen Ejecutivo'!$E$12/1000))</f>
        <v>341391.3914</v>
      </c>
      <c r="F28" s="32">
        <f>('📅 Desglose Diario'!G18/('📊 Resumen Ejecutivo'!$E$13/1000))</f>
        <v>287487.4875</v>
      </c>
      <c r="G28" s="32">
        <f>('📅 Desglose Diario'!H18/('📊 Resumen Ejecutivo'!$E$14/1000))</f>
        <v>60641.89189</v>
      </c>
      <c r="H28" s="32">
        <f>('📅 Desglose Diario'!I18/('📊 Resumen Ejecutivo'!$E$15/1000))</f>
        <v>398503.861</v>
      </c>
      <c r="I28" s="73">
        <f t="shared" si="5"/>
        <v>1088024.632</v>
      </c>
      <c r="J28" s="73">
        <f>E28*'📊 Resumen Ejecutivo'!$E$16+F28*'📊 Resumen Ejecutivo'!$E$17+G28*'📊 Resumen Ejecutivo'!$E$18+H28*'📊 Resumen Ejecutivo'!$E$19</f>
        <v>18427.11372</v>
      </c>
      <c r="K28" s="1"/>
    </row>
    <row r="29" ht="18.0" customHeight="1">
      <c r="A29" s="1"/>
      <c r="B29" s="75">
        <v>14.0</v>
      </c>
      <c r="C29" s="89">
        <f>'📅 Desglose Diario'!C19</f>
        <v>46195</v>
      </c>
      <c r="D29" s="36">
        <f>'📅 Desglose Diario'!E19</f>
        <v>2789527.027</v>
      </c>
      <c r="E29" s="36">
        <f>('📅 Desglose Diario'!F19/('📊 Resumen Ejecutivo'!$E$12/1000))</f>
        <v>157040.04</v>
      </c>
      <c r="F29" s="36">
        <f>('📅 Desglose Diario'!G19/('📊 Resumen Ejecutivo'!$E$13/1000))</f>
        <v>132244.2442</v>
      </c>
      <c r="G29" s="36">
        <f>('📅 Desglose Diario'!H19/('📊 Resumen Ejecutivo'!$E$14/1000))</f>
        <v>27895.27027</v>
      </c>
      <c r="H29" s="36">
        <f>('📅 Desglose Diario'!I19/('📊 Resumen Ejecutivo'!$E$15/1000))</f>
        <v>183311.7761</v>
      </c>
      <c r="I29" s="77">
        <f t="shared" si="5"/>
        <v>500491.3306</v>
      </c>
      <c r="J29" s="77">
        <f>E29*'📊 Resumen Ejecutivo'!$E$16+F29*'📊 Resumen Ejecutivo'!$E$17+G29*'📊 Resumen Ejecutivo'!$E$18+H29*'📊 Resumen Ejecutivo'!$E$19</f>
        <v>8476.472312</v>
      </c>
      <c r="K29" s="1"/>
    </row>
    <row r="30" ht="18.0" customHeight="1">
      <c r="A30" s="1"/>
      <c r="B30" s="70">
        <v>15.0</v>
      </c>
      <c r="C30" s="88">
        <f>'📅 Desglose Diario'!C20</f>
        <v>46196</v>
      </c>
      <c r="D30" s="32">
        <f>'📅 Desglose Diario'!E20</f>
        <v>1697972.973</v>
      </c>
      <c r="E30" s="32">
        <f>('📅 Desglose Diario'!F20/('📊 Resumen Ejecutivo'!$E$12/1000))</f>
        <v>95589.58959</v>
      </c>
      <c r="F30" s="32">
        <f>('📅 Desglose Diario'!G20/('📊 Resumen Ejecutivo'!$E$13/1000))</f>
        <v>80496.4965</v>
      </c>
      <c r="G30" s="32">
        <f>('📅 Desglose Diario'!H20/('📊 Resumen Ejecutivo'!$E$14/1000))</f>
        <v>16979.72973</v>
      </c>
      <c r="H30" s="32">
        <f>('📅 Desglose Diario'!I20/('📊 Resumen Ejecutivo'!$E$15/1000))</f>
        <v>111581.0811</v>
      </c>
      <c r="I30" s="73">
        <f t="shared" si="5"/>
        <v>304646.8969</v>
      </c>
      <c r="J30" s="73">
        <f>E30*'📊 Resumen Ejecutivo'!$E$16+F30*'📊 Resumen Ejecutivo'!$E$17+G30*'📊 Resumen Ejecutivo'!$E$18+H30*'📊 Resumen Ejecutivo'!$E$19</f>
        <v>5159.591842</v>
      </c>
      <c r="K30" s="1"/>
    </row>
    <row r="31" ht="21.75" customHeight="1">
      <c r="A31" s="1"/>
      <c r="B31" s="54" t="s">
        <v>47</v>
      </c>
      <c r="C31" s="40" t="s">
        <v>102</v>
      </c>
      <c r="D31" s="56">
        <f t="shared" ref="D31:J31" si="6">SUM(D16:D30)</f>
        <v>44875000</v>
      </c>
      <c r="E31" s="56">
        <f t="shared" si="6"/>
        <v>2526296.296</v>
      </c>
      <c r="F31" s="56">
        <f t="shared" si="6"/>
        <v>2127407.407</v>
      </c>
      <c r="G31" s="56">
        <f t="shared" si="6"/>
        <v>448750</v>
      </c>
      <c r="H31" s="56">
        <f t="shared" si="6"/>
        <v>2948928.571</v>
      </c>
      <c r="I31" s="56">
        <f t="shared" si="6"/>
        <v>8051382.275</v>
      </c>
      <c r="J31" s="56">
        <f t="shared" si="6"/>
        <v>136360.6415</v>
      </c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0" customHeight="1">
      <c r="A33" s="1"/>
      <c r="B33" s="68" t="s">
        <v>103</v>
      </c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">
    <mergeCell ref="B2:J2"/>
    <mergeCell ref="B3:J3"/>
    <mergeCell ref="B5:J5"/>
    <mergeCell ref="B14:J14"/>
    <mergeCell ref="B33:J33"/>
  </mergeCells>
  <printOptions/>
  <pageMargins bottom="1.0" footer="0.0" header="0.0" left="0.75" right="0.75" top="1.0"/>
  <pageSetup paperSize="9" orientation="portrait"/>
  <drawing r:id="rId1"/>
</worksheet>
</file>